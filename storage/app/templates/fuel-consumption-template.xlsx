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~GSU\Documents\"/>
    </mc:Choice>
  </mc:AlternateContent>
  <xr:revisionPtr revIDLastSave="0" documentId="8_{387FFEA8-B081-454A-B024-2D9628B36787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INVENTORY OF VEHICLES FORM A" sheetId="1" r:id="rId1"/>
    <sheet name="INVENTORY OF VEHICLES FORM B" sheetId="2" r:id="rId2"/>
    <sheet name="INVENTORY OF VEHICLES FORM C" sheetId="3" r:id="rId3"/>
    <sheet name="INVENTORY OF VEHICLES FORM V3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O+oJyn3LatUaCAJz5pu+SczygWa9j1aQARYjFLhAac="/>
    </ext>
  </extLst>
</workbook>
</file>

<file path=xl/calcChain.xml><?xml version="1.0" encoding="utf-8"?>
<calcChain xmlns="http://schemas.openxmlformats.org/spreadsheetml/2006/main">
  <c r="L19" i="5" l="1"/>
  <c r="K20" i="5" s="1"/>
  <c r="F13" i="5"/>
  <c r="F12" i="5"/>
  <c r="E12" i="5"/>
  <c r="F11" i="5"/>
  <c r="F10" i="5"/>
  <c r="F9" i="5"/>
  <c r="F8" i="5"/>
  <c r="F7" i="5"/>
  <c r="K5" i="5"/>
  <c r="D5" i="5"/>
  <c r="F5" i="5" s="1"/>
  <c r="F4" i="5"/>
  <c r="I176" i="3"/>
  <c r="I175" i="3"/>
  <c r="I174" i="3"/>
  <c r="I173" i="3"/>
  <c r="I172" i="3"/>
  <c r="I171" i="3"/>
  <c r="I170" i="3"/>
  <c r="I169" i="3"/>
  <c r="I168" i="3"/>
  <c r="I167" i="3"/>
  <c r="I166" i="3"/>
  <c r="I165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1" i="3"/>
  <c r="I90" i="3"/>
  <c r="I89" i="3"/>
  <c r="I88" i="3"/>
  <c r="I87" i="3"/>
  <c r="I86" i="3"/>
  <c r="I85" i="3"/>
  <c r="I84" i="3"/>
  <c r="I83" i="3"/>
  <c r="I82" i="3"/>
  <c r="I81" i="3"/>
  <c r="M80" i="3"/>
  <c r="I80" i="3"/>
  <c r="I74" i="3"/>
  <c r="I73" i="3"/>
  <c r="I72" i="3"/>
  <c r="I71" i="3"/>
  <c r="I70" i="3"/>
  <c r="I69" i="3"/>
  <c r="I68" i="3"/>
  <c r="I67" i="3"/>
  <c r="I66" i="3"/>
  <c r="I65" i="3"/>
  <c r="I64" i="3"/>
  <c r="I63" i="3"/>
  <c r="I57" i="3"/>
  <c r="I56" i="3"/>
  <c r="I55" i="3"/>
  <c r="I54" i="3"/>
  <c r="I53" i="3"/>
  <c r="I52" i="3"/>
  <c r="I51" i="3"/>
  <c r="I50" i="3"/>
  <c r="I49" i="3"/>
  <c r="I48" i="3"/>
  <c r="I47" i="3"/>
  <c r="I46" i="3"/>
  <c r="I40" i="3"/>
  <c r="I39" i="3"/>
  <c r="I38" i="3"/>
  <c r="I37" i="3"/>
  <c r="I36" i="3"/>
  <c r="I35" i="3"/>
  <c r="I34" i="3"/>
  <c r="I33" i="3"/>
  <c r="I32" i="3"/>
  <c r="I31" i="3"/>
  <c r="I30" i="3"/>
  <c r="I29" i="3"/>
  <c r="I23" i="3"/>
  <c r="I22" i="3"/>
  <c r="I21" i="3"/>
  <c r="I20" i="3"/>
  <c r="I19" i="3"/>
  <c r="I18" i="3"/>
  <c r="I17" i="3"/>
  <c r="I16" i="3"/>
  <c r="I15" i="3"/>
  <c r="I14" i="3"/>
  <c r="I13" i="3"/>
  <c r="I12" i="3"/>
  <c r="L18" i="5" l="1"/>
  <c r="K19" i="5" l="1"/>
  <c r="L17" i="5"/>
  <c r="K18" i="5" l="1"/>
  <c r="L16" i="5"/>
  <c r="L15" i="5" l="1"/>
  <c r="K17" i="5"/>
  <c r="K16" i="5" l="1"/>
  <c r="L14" i="5"/>
  <c r="K15" i="5" l="1"/>
  <c r="L13" i="5"/>
  <c r="L12" i="5" l="1"/>
  <c r="K14" i="5"/>
  <c r="L11" i="5" l="1"/>
  <c r="K13" i="5"/>
  <c r="K12" i="5" l="1"/>
  <c r="L10" i="5"/>
  <c r="L9" i="5" l="1"/>
  <c r="K11" i="5"/>
  <c r="K10" i="5" l="1"/>
  <c r="L8" i="5"/>
  <c r="L7" i="5" l="1"/>
  <c r="K8" i="5" s="1"/>
  <c r="K9" i="5"/>
</calcChain>
</file>

<file path=xl/sharedStrings.xml><?xml version="1.0" encoding="utf-8"?>
<sst xmlns="http://schemas.openxmlformats.org/spreadsheetml/2006/main" count="1016" uniqueCount="197">
  <si>
    <t xml:space="preserve">                   GEMP FORM -2</t>
  </si>
  <si>
    <r>
      <rPr>
        <sz val="11"/>
        <color theme="1"/>
        <rFont val="Calibri"/>
      </rPr>
      <t xml:space="preserve">                   Region : </t>
    </r>
    <r>
      <rPr>
        <u/>
        <sz val="11"/>
        <color theme="1"/>
        <rFont val="Calibri"/>
      </rPr>
      <t>02</t>
    </r>
  </si>
  <si>
    <t xml:space="preserve">GOVERNMENT ENERGY MANAGEMENT PROGRAM (GEMP) </t>
  </si>
  <si>
    <t>INVENTORY OF VEHICLES</t>
  </si>
  <si>
    <t>(In compliance with R.A. 11285 and its IRR)</t>
  </si>
  <si>
    <r>
      <rPr>
        <sz val="11"/>
        <color theme="1"/>
        <rFont val="Calibri"/>
      </rPr>
      <t xml:space="preserve">Name of Government Agency/Office : </t>
    </r>
    <r>
      <rPr>
        <u/>
        <sz val="11"/>
        <color theme="1"/>
        <rFont val="Calibri"/>
      </rPr>
      <t>Quirino State University</t>
    </r>
  </si>
  <si>
    <t>Contact No.: 09166330353</t>
  </si>
  <si>
    <r>
      <rPr>
        <sz val="11"/>
        <color theme="1"/>
        <rFont val="Calibri"/>
      </rPr>
      <t xml:space="preserve">Address : </t>
    </r>
    <r>
      <rPr>
        <u/>
        <sz val="11"/>
        <color theme="1"/>
        <rFont val="Calibri"/>
      </rPr>
      <t>Andres Bonifacio, Diffun, Quirino</t>
    </r>
  </si>
  <si>
    <t>Date: February 24, 2025</t>
  </si>
  <si>
    <t>VEHICLE NO. 1</t>
  </si>
  <si>
    <t>MANUFACTURER</t>
  </si>
  <si>
    <t>TYPE/SERIES</t>
  </si>
  <si>
    <t>2021 FUEL CONSUMPTION (L)</t>
  </si>
  <si>
    <t>TOYOTA</t>
  </si>
  <si>
    <t>FORTUNER</t>
  </si>
  <si>
    <t>MONTH</t>
  </si>
  <si>
    <t>NO. OF LITERS CONSUMED</t>
  </si>
  <si>
    <t>ODOMETER BY END OF MONTH (KM)</t>
  </si>
  <si>
    <t>FUEL EFFICIENCY (KM/L)</t>
  </si>
  <si>
    <t>JANUARY</t>
  </si>
  <si>
    <t>PLATE NO.</t>
  </si>
  <si>
    <t>FUEL TYPE</t>
  </si>
  <si>
    <t>FEBRUARY</t>
  </si>
  <si>
    <t>SHR 805</t>
  </si>
  <si>
    <t>DIESEL</t>
  </si>
  <si>
    <t>MARCH</t>
  </si>
  <si>
    <t>APRIL</t>
  </si>
  <si>
    <t>YEAR MODEL</t>
  </si>
  <si>
    <t>BODY TYPE</t>
  </si>
  <si>
    <t>MAY</t>
  </si>
  <si>
    <t>WAGON</t>
  </si>
  <si>
    <t>JUNE</t>
  </si>
  <si>
    <t>JULY</t>
  </si>
  <si>
    <t>GROSS WEIGHT</t>
  </si>
  <si>
    <t>NET WEIGHT</t>
  </si>
  <si>
    <t>AUGUST</t>
  </si>
  <si>
    <t>SEPTEMBER</t>
  </si>
  <si>
    <t>OCTOBER</t>
  </si>
  <si>
    <t>NOVEMBER</t>
  </si>
  <si>
    <t>DECEMBER</t>
  </si>
  <si>
    <t>VEHICLE NO. 2</t>
  </si>
  <si>
    <t>ISUZU</t>
  </si>
  <si>
    <t>HI-LANDER CROSSWIND</t>
  </si>
  <si>
    <t>SGZ 685</t>
  </si>
  <si>
    <t>VEHICLE NO. 3</t>
  </si>
  <si>
    <t>MITSUBISHI</t>
  </si>
  <si>
    <t>L200</t>
  </si>
  <si>
    <t>SED 985</t>
  </si>
  <si>
    <t>PICK-UP</t>
  </si>
  <si>
    <t>VEHICLE NO. 4</t>
  </si>
  <si>
    <t>YUTONG</t>
  </si>
  <si>
    <t>ZK6907H BUS</t>
  </si>
  <si>
    <t>SNA 1454</t>
  </si>
  <si>
    <t>BUS</t>
  </si>
  <si>
    <t>VEHICLE NO. 5</t>
  </si>
  <si>
    <t>ZK6729D2 BUS</t>
  </si>
  <si>
    <t>SNA 1455</t>
  </si>
  <si>
    <t>VEHICLE NO. 6</t>
  </si>
  <si>
    <t>NISSAN</t>
  </si>
  <si>
    <t>URVAN ESCAPADE</t>
  </si>
  <si>
    <t>SBS 512</t>
  </si>
  <si>
    <t>VAN</t>
  </si>
  <si>
    <t>VEHICLE NO. 7</t>
  </si>
  <si>
    <t>JITNEY</t>
  </si>
  <si>
    <t>SDV 858</t>
  </si>
  <si>
    <t>VEHICLE NO. 8</t>
  </si>
  <si>
    <t>FOTON</t>
  </si>
  <si>
    <t>VIEW AMBULANCE</t>
  </si>
  <si>
    <t>SAA 4719</t>
  </si>
  <si>
    <t>AMBULANCE</t>
  </si>
  <si>
    <t>VEHICLE NO. 9</t>
  </si>
  <si>
    <t>NV350 URVAN</t>
  </si>
  <si>
    <t>SAA 1185</t>
  </si>
  <si>
    <t>VEHICLE NO. 10</t>
  </si>
  <si>
    <t>L300</t>
  </si>
  <si>
    <t>SJS 190</t>
  </si>
  <si>
    <t>FB BODY</t>
  </si>
  <si>
    <t xml:space="preserve"> </t>
  </si>
  <si>
    <t xml:space="preserve">                   GEMP FORM -3</t>
  </si>
  <si>
    <r>
      <rPr>
        <sz val="11"/>
        <color theme="1"/>
        <rFont val="Calibri"/>
      </rPr>
      <t xml:space="preserve">                   Region : </t>
    </r>
    <r>
      <rPr>
        <u/>
        <sz val="11"/>
        <color theme="1"/>
        <rFont val="Calibri"/>
      </rPr>
      <t>02</t>
    </r>
  </si>
  <si>
    <r>
      <rPr>
        <sz val="11"/>
        <color theme="1"/>
        <rFont val="Calibri"/>
      </rPr>
      <t xml:space="preserve">Name of Government Agency/Office : </t>
    </r>
    <r>
      <rPr>
        <u/>
        <sz val="11"/>
        <color theme="1"/>
        <rFont val="Calibri"/>
      </rPr>
      <t>Quirino State University</t>
    </r>
  </si>
  <si>
    <r>
      <rPr>
        <sz val="11"/>
        <color theme="1"/>
        <rFont val="Calibri"/>
      </rPr>
      <t xml:space="preserve">Address : </t>
    </r>
    <r>
      <rPr>
        <u/>
        <sz val="11"/>
        <color theme="1"/>
        <rFont val="Calibri"/>
      </rPr>
      <t>Andres Bonifacio, Diffun, Quirino</t>
    </r>
  </si>
  <si>
    <t>NO.</t>
  </si>
  <si>
    <t>TRANSMISSION</t>
  </si>
  <si>
    <t>ODOMETER READING (KM)
AS OF DECEMBER 31, 2024</t>
  </si>
  <si>
    <t>AUTOMATIC</t>
  </si>
  <si>
    <t>MANUAL</t>
  </si>
  <si>
    <t>N/A</t>
  </si>
  <si>
    <r>
      <rPr>
        <sz val="11"/>
        <color theme="1"/>
        <rFont val="Calibri"/>
      </rPr>
      <t xml:space="preserve">                   Region : </t>
    </r>
    <r>
      <rPr>
        <u/>
        <sz val="11"/>
        <color theme="1"/>
        <rFont val="Calibri"/>
      </rPr>
      <t>02</t>
    </r>
  </si>
  <si>
    <r>
      <rPr>
        <sz val="11"/>
        <color theme="1"/>
        <rFont val="Calibri"/>
      </rPr>
      <t xml:space="preserve">Name of Government Agency/Office : </t>
    </r>
    <r>
      <rPr>
        <u/>
        <sz val="11"/>
        <color theme="1"/>
        <rFont val="Calibri"/>
      </rPr>
      <t>Quirino State University</t>
    </r>
  </si>
  <si>
    <r>
      <rPr>
        <sz val="11"/>
        <color theme="1"/>
        <rFont val="Calibri"/>
      </rPr>
      <t xml:space="preserve">Address : </t>
    </r>
    <r>
      <rPr>
        <u/>
        <sz val="11"/>
        <color theme="1"/>
        <rFont val="Calibri"/>
      </rPr>
      <t>Andres Bonifacio, Diffun, Quirino</t>
    </r>
  </si>
  <si>
    <t>GENERAL INFORMATION OF VEHICLE</t>
  </si>
  <si>
    <t>2024 FUEL CONSUMPTION (L)</t>
  </si>
  <si>
    <t>ODOMETER BY START OF MONTH (KM)</t>
  </si>
  <si>
    <t>VEHICLE DESCRIPTION (MAKE/TYPE/SERIES)</t>
  </si>
  <si>
    <t>Toyota Fortuner</t>
  </si>
  <si>
    <t>Diesel</t>
  </si>
  <si>
    <t>ACQUISITION COST (PHP)</t>
  </si>
  <si>
    <t>YEAR OF ACQUISITION</t>
  </si>
  <si>
    <t>TRANSMISSION TYPE</t>
  </si>
  <si>
    <t>Automatic</t>
  </si>
  <si>
    <t>MOTOR NO.</t>
  </si>
  <si>
    <t>2KDU369350</t>
  </si>
  <si>
    <t>CHASSIS NO.</t>
  </si>
  <si>
    <t>MHFZR69G503073738</t>
  </si>
  <si>
    <t>LTO MV FILE NO.</t>
  </si>
  <si>
    <t>1384-00000314226</t>
  </si>
  <si>
    <t>ASSIGNED UNIT</t>
  </si>
  <si>
    <t>President's Office</t>
  </si>
  <si>
    <t>ODOMETER READING (KILOMETERS)</t>
  </si>
  <si>
    <t>PAR TO</t>
  </si>
  <si>
    <t>Eddie Salvador</t>
  </si>
  <si>
    <t>Isuzu Hi-Lander Crosswind</t>
  </si>
  <si>
    <t>Manual</t>
  </si>
  <si>
    <t>4JA1-BX9586</t>
  </si>
  <si>
    <t>PABTBR54F42025549</t>
  </si>
  <si>
    <t>1368-00000160865</t>
  </si>
  <si>
    <t>General use</t>
  </si>
  <si>
    <t>Ceasar M. Bangloy</t>
  </si>
  <si>
    <t>Mitsubishi L200</t>
  </si>
  <si>
    <t>4D56-GA2946</t>
  </si>
  <si>
    <t>DJNK340SP00289</t>
  </si>
  <si>
    <t>1312-000049591RP</t>
  </si>
  <si>
    <t>Julius M. Gumayagay</t>
  </si>
  <si>
    <t>Yutong ZK6907H Bus</t>
  </si>
  <si>
    <t>YC6A27050A5CYAR30011</t>
  </si>
  <si>
    <t>LZYTDTD6XR1014632</t>
  </si>
  <si>
    <t>1301-00002102057</t>
  </si>
  <si>
    <t>Florigold V. Saldaen</t>
  </si>
  <si>
    <t>Yutong ZK6729D2 Bus</t>
  </si>
  <si>
    <t>ISF38S415477361850</t>
  </si>
  <si>
    <t>LZYTETC22R1013552</t>
  </si>
  <si>
    <t>1301-00002102058</t>
  </si>
  <si>
    <t>Nissan Urvan Escapade VJA12</t>
  </si>
  <si>
    <t>TD27-691145</t>
  </si>
  <si>
    <t>TVP41EFE24 A24468</t>
  </si>
  <si>
    <t>0240-02-8414</t>
  </si>
  <si>
    <t>General Services</t>
  </si>
  <si>
    <t>Engr. Dennis S. Opiano</t>
  </si>
  <si>
    <t>Isuzu Jitney</t>
  </si>
  <si>
    <t>4BA1-346257</t>
  </si>
  <si>
    <t>CCM-98-14575-C</t>
  </si>
  <si>
    <t>0472-94775</t>
  </si>
  <si>
    <t>Foton View Ambulance</t>
  </si>
  <si>
    <t>BJ493ZQF031888</t>
  </si>
  <si>
    <t>LVC81DDAXFS011907</t>
  </si>
  <si>
    <t>0201-00000296438</t>
  </si>
  <si>
    <t>Nissan NV350 Urvan</t>
  </si>
  <si>
    <t>YD25062338B</t>
  </si>
  <si>
    <t>JN1TC2E26Z0059279</t>
  </si>
  <si>
    <t>1301-00001436738</t>
  </si>
  <si>
    <t>Mitsubishi L300 Cab</t>
  </si>
  <si>
    <t>4D56-AAB8496</t>
  </si>
  <si>
    <t>PAEL35NY18B020170</t>
  </si>
  <si>
    <t>1356-00000065871</t>
  </si>
  <si>
    <r>
      <rPr>
        <sz val="11"/>
        <color theme="1"/>
        <rFont val="Calibri"/>
      </rPr>
      <t xml:space="preserve">                   Region : </t>
    </r>
    <r>
      <rPr>
        <u/>
        <sz val="11"/>
        <color theme="1"/>
        <rFont val="Calibri"/>
      </rPr>
      <t>02</t>
    </r>
  </si>
  <si>
    <r>
      <rPr>
        <sz val="11"/>
        <color theme="1"/>
        <rFont val="Calibri"/>
      </rPr>
      <t xml:space="preserve">Name of Government Agency/Office : </t>
    </r>
    <r>
      <rPr>
        <u/>
        <sz val="11"/>
        <color theme="1"/>
        <rFont val="Calibri"/>
      </rPr>
      <t>Quirino State University</t>
    </r>
  </si>
  <si>
    <r>
      <rPr>
        <sz val="11"/>
        <color theme="1"/>
        <rFont val="Calibri"/>
      </rPr>
      <t xml:space="preserve">Address : </t>
    </r>
    <r>
      <rPr>
        <u/>
        <sz val="11"/>
        <color theme="1"/>
        <rFont val="Calibri"/>
      </rPr>
      <t>Andres Bonifacio, Diffun, Quirino</t>
    </r>
  </si>
  <si>
    <t>DATE</t>
  </si>
  <si>
    <t>TRIP TICKET NO.</t>
  </si>
  <si>
    <t>ODO START</t>
  </si>
  <si>
    <t>ODO END</t>
  </si>
  <si>
    <t>TOTAL KM</t>
  </si>
  <si>
    <t>DESTINATION</t>
  </si>
  <si>
    <t>DELIVERY</t>
  </si>
  <si>
    <t>DELIVERY TO QSU</t>
  </si>
  <si>
    <t>TEST</t>
  </si>
  <si>
    <t>AGLIPAY</t>
  </si>
  <si>
    <t>2024-09-62</t>
  </si>
  <si>
    <t>CHED QUEZON CITY</t>
  </si>
  <si>
    <t>2024-08-33</t>
  </si>
  <si>
    <t>ISU-E  &amp; ISU-C</t>
  </si>
  <si>
    <t>10/23/24</t>
  </si>
  <si>
    <t>2024-10-41</t>
  </si>
  <si>
    <t>BCC, BAGUIO</t>
  </si>
  <si>
    <t>LOWER MAGAT</t>
  </si>
  <si>
    <t>10/29/24</t>
  </si>
  <si>
    <t>2024-10-34</t>
  </si>
  <si>
    <t>NVAT, CLSU, ASCOT</t>
  </si>
  <si>
    <t>CAPITOL HILLS</t>
  </si>
  <si>
    <t>ILAGAN</t>
  </si>
  <si>
    <t>LOWER GABRIELA ES</t>
  </si>
  <si>
    <t>BAGUIO &amp; BSU</t>
  </si>
  <si>
    <t>TUGUE</t>
  </si>
  <si>
    <t>2024-08-53</t>
  </si>
  <si>
    <t>TAGAYTAY CITY</t>
  </si>
  <si>
    <t>2024-12-34</t>
  </si>
  <si>
    <t>CAPITOL</t>
  </si>
  <si>
    <t>2024-09-47</t>
  </si>
  <si>
    <t>SM TUGUEGARAO</t>
  </si>
  <si>
    <t>QSU-C</t>
  </si>
  <si>
    <t>2024-11-46</t>
  </si>
  <si>
    <t>QSCOMPLEX</t>
  </si>
  <si>
    <t>ISU-E, ISU-C</t>
  </si>
  <si>
    <t>TUGUEGARAO</t>
  </si>
  <si>
    <t>2024-12-38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</si>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</sst>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₱&quot;* #,##0.00_-;\-&quot;₱&quot;* #,##0.00_-;_-&quot;₱&quot;* &quot;-&quot;??_-;_-@"/>
    <numFmt numFmtId="165" formatCode="_-* #,##0_-;\-* #,##0_-;_-* &quot;-&quot;??_-;_-@"/>
    <numFmt numFmtId="166" formatCode="mm&quot;/&quot;dd&quot;/&quot;yy"/>
    <numFmt numFmtId="167" formatCode="dd/mm/yy"/>
    <numFmt numFmtId="168" formatCode="yyyy\-mm\-dd"/>
    <numFmt numFmtId="169" formatCode="d/m/yy"/>
  </numFmts>
  <fonts count="1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0000FF"/>
      <name val="Cambria"/>
    </font>
    <font>
      <b/>
      <sz val="12"/>
      <color rgb="FF000000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</font>
    <font>
      <sz val="11"/>
      <color theme="1"/>
      <name val="Calibri"/>
      <scheme val="minor"/>
    </font>
    <font>
      <i/>
      <sz val="11"/>
      <color theme="1"/>
      <name val="Calibri"/>
    </font>
    <font>
      <sz val="12"/>
      <color theme="1"/>
      <name val="Calibri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Calibri"/>
      <scheme val="minor"/>
    </font>
    <font>
      <u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7" fillId="0" borderId="0" xfId="0" applyFont="1"/>
    <xf numFmtId="0" fontId="6" fillId="0" borderId="4" xfId="0" applyFont="1" applyBorder="1"/>
    <xf numFmtId="165" fontId="6" fillId="0" borderId="4" xfId="0" applyNumberFormat="1" applyFont="1" applyBorder="1" applyAlignment="1">
      <alignment horizontal="left" vertical="center"/>
    </xf>
    <xf numFmtId="0" fontId="6" fillId="2" borderId="4" xfId="0" applyFont="1" applyFill="1" applyBorder="1"/>
    <xf numFmtId="0" fontId="8" fillId="2" borderId="4" xfId="0" applyFont="1" applyFill="1" applyBorder="1"/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6" fillId="2" borderId="0" xfId="0" applyFont="1" applyFill="1"/>
    <xf numFmtId="0" fontId="9" fillId="2" borderId="0" xfId="0" applyFont="1" applyFill="1"/>
    <xf numFmtId="165" fontId="6" fillId="2" borderId="4" xfId="0" applyNumberFormat="1" applyFont="1" applyFill="1" applyBorder="1" applyAlignment="1">
      <alignment horizontal="left" vertical="center"/>
    </xf>
    <xf numFmtId="0" fontId="9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167" fontId="9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5" fillId="0" borderId="6" xfId="0" applyFont="1" applyBorder="1"/>
    <xf numFmtId="0" fontId="1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</xdr:row>
      <xdr:rowOff>57150</xdr:rowOff>
    </xdr:from>
    <xdr:ext cx="895350" cy="8953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</xdr:row>
      <xdr:rowOff>57150</xdr:rowOff>
    </xdr:from>
    <xdr:ext cx="895350" cy="8953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</xdr:row>
      <xdr:rowOff>57150</xdr:rowOff>
    </xdr:from>
    <xdr:ext cx="895350" cy="8953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</xdr:row>
      <xdr:rowOff>57150</xdr:rowOff>
    </xdr:from>
    <xdr:ext cx="895350" cy="8953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8"/>
  <sheetViews>
    <sheetView view="pageBreakPreview" topLeftCell="A6" zoomScale="60" zoomScaleNormal="100" workbookViewId="0"/>
  </sheetViews>
  <sheetFormatPr defaultColWidth="14.42578125" defaultRowHeight="15" customHeight="1" x14ac:dyDescent="0.25"/>
  <cols>
    <col min="1" max="1" width="19.85546875" customWidth="1"/>
    <col min="2" max="2" width="17.42578125" customWidth="1"/>
    <col min="3" max="3" width="22.7109375" customWidth="1"/>
    <col min="4" max="4" width="24.42578125" customWidth="1"/>
    <col min="5" max="5" width="34" customWidth="1"/>
    <col min="6" max="6" width="33.140625" customWidth="1"/>
    <col min="7" max="7" width="7" customWidth="1"/>
    <col min="8" max="8" width="17.28515625" customWidth="1"/>
    <col min="9" max="9" width="26.28515625" customWidth="1"/>
    <col min="10" max="24" width="8" customWidth="1"/>
  </cols>
  <sheetData>
    <row r="1" spans="1:26" x14ac:dyDescent="0.25">
      <c r="F1" s="1" t="s">
        <v>0</v>
      </c>
      <c r="L1" s="2"/>
      <c r="M1" s="2"/>
    </row>
    <row r="2" spans="1:26" x14ac:dyDescent="0.25">
      <c r="F2" s="1" t="s">
        <v>1</v>
      </c>
      <c r="K2" s="2"/>
      <c r="L2" s="2"/>
      <c r="M2" s="2"/>
    </row>
    <row r="3" spans="1:26" ht="18" customHeight="1" x14ac:dyDescent="0.25">
      <c r="A3" s="87" t="s">
        <v>2</v>
      </c>
      <c r="B3" s="88"/>
      <c r="C3" s="88"/>
      <c r="D3" s="88"/>
      <c r="E3" s="88"/>
      <c r="F3" s="88"/>
      <c r="J3" s="3"/>
      <c r="K3" s="3"/>
    </row>
    <row r="4" spans="1:26" ht="15.75" customHeight="1" x14ac:dyDescent="0.25">
      <c r="A4" s="89" t="s">
        <v>3</v>
      </c>
      <c r="B4" s="88"/>
      <c r="C4" s="88"/>
      <c r="D4" s="88"/>
      <c r="E4" s="88"/>
      <c r="F4" s="88"/>
      <c r="J4" s="4"/>
      <c r="K4" s="4"/>
    </row>
    <row r="5" spans="1:26" x14ac:dyDescent="0.25">
      <c r="A5" s="90" t="s">
        <v>4</v>
      </c>
      <c r="B5" s="88"/>
      <c r="C5" s="88"/>
      <c r="D5" s="88"/>
      <c r="E5" s="88"/>
      <c r="F5" s="88"/>
      <c r="J5" s="6"/>
      <c r="K5" s="6"/>
    </row>
    <row r="6" spans="1:26" x14ac:dyDescent="0.25">
      <c r="H6" s="7"/>
    </row>
    <row r="7" spans="1:26" x14ac:dyDescent="0.25">
      <c r="A7" s="1" t="s">
        <v>5</v>
      </c>
      <c r="E7" s="1" t="s">
        <v>6</v>
      </c>
    </row>
    <row r="8" spans="1:26" x14ac:dyDescent="0.25">
      <c r="A8" s="1" t="s">
        <v>7</v>
      </c>
      <c r="E8" s="1" t="s">
        <v>8</v>
      </c>
    </row>
    <row r="9" spans="1:26" ht="15.75" customHeight="1" x14ac:dyDescent="0.25"/>
    <row r="10" spans="1:26" ht="15.75" customHeight="1" x14ac:dyDescent="0.25">
      <c r="A10" s="84" t="s">
        <v>9</v>
      </c>
      <c r="B10" s="85"/>
      <c r="C10" s="85"/>
      <c r="D10" s="85"/>
      <c r="E10" s="85"/>
      <c r="F10" s="8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25">
      <c r="A11" s="9" t="s">
        <v>10</v>
      </c>
      <c r="B11" s="9" t="s">
        <v>11</v>
      </c>
      <c r="C11" s="84" t="s">
        <v>12</v>
      </c>
      <c r="D11" s="85"/>
      <c r="E11" s="85"/>
      <c r="F11" s="86"/>
      <c r="G11" s="8"/>
    </row>
    <row r="12" spans="1:26" ht="15.75" customHeight="1" x14ac:dyDescent="0.25">
      <c r="A12" s="81" t="s">
        <v>13</v>
      </c>
      <c r="B12" s="81" t="s">
        <v>14</v>
      </c>
      <c r="C12" s="9" t="s">
        <v>15</v>
      </c>
      <c r="D12" s="9" t="s">
        <v>16</v>
      </c>
      <c r="E12" s="9" t="s">
        <v>17</v>
      </c>
      <c r="F12" s="9" t="s">
        <v>18</v>
      </c>
      <c r="G12" s="8"/>
      <c r="H12" s="1"/>
      <c r="J12" s="1"/>
    </row>
    <row r="13" spans="1:26" ht="15.75" customHeight="1" x14ac:dyDescent="0.25">
      <c r="A13" s="82"/>
      <c r="B13" s="82"/>
      <c r="C13" s="10" t="s">
        <v>19</v>
      </c>
      <c r="D13" s="11">
        <v>0</v>
      </c>
      <c r="E13" s="12"/>
      <c r="F13" s="12"/>
      <c r="H13" s="1"/>
      <c r="J13" s="1"/>
    </row>
    <row r="14" spans="1:26" ht="15.75" customHeight="1" x14ac:dyDescent="0.25">
      <c r="A14" s="9" t="s">
        <v>20</v>
      </c>
      <c r="B14" s="9" t="s">
        <v>21</v>
      </c>
      <c r="C14" s="10" t="s">
        <v>22</v>
      </c>
      <c r="D14" s="11">
        <v>110.69</v>
      </c>
      <c r="E14" s="12"/>
      <c r="F14" s="12"/>
      <c r="H14" s="1"/>
      <c r="J14" s="1"/>
    </row>
    <row r="15" spans="1:26" ht="15.75" customHeight="1" x14ac:dyDescent="0.25">
      <c r="A15" s="81" t="s">
        <v>23</v>
      </c>
      <c r="B15" s="81" t="s">
        <v>24</v>
      </c>
      <c r="C15" s="10" t="s">
        <v>25</v>
      </c>
      <c r="D15" s="11">
        <v>147.19999999999999</v>
      </c>
      <c r="E15" s="12"/>
      <c r="F15" s="12"/>
      <c r="H15" s="1"/>
      <c r="J15" s="1"/>
    </row>
    <row r="16" spans="1:26" ht="15.75" customHeight="1" x14ac:dyDescent="0.25">
      <c r="A16" s="82"/>
      <c r="B16" s="82"/>
      <c r="C16" s="10" t="s">
        <v>26</v>
      </c>
      <c r="D16" s="11">
        <v>159.69999999999999</v>
      </c>
      <c r="E16" s="12"/>
      <c r="F16" s="12"/>
      <c r="H16" s="1"/>
      <c r="J16" s="1"/>
    </row>
    <row r="17" spans="1:10" ht="15.75" customHeight="1" x14ac:dyDescent="0.25">
      <c r="A17" s="9" t="s">
        <v>27</v>
      </c>
      <c r="B17" s="9" t="s">
        <v>28</v>
      </c>
      <c r="C17" s="10" t="s">
        <v>29</v>
      </c>
      <c r="D17" s="11">
        <v>113.96</v>
      </c>
      <c r="E17" s="12"/>
      <c r="F17" s="12"/>
      <c r="H17" s="1"/>
      <c r="J17" s="1"/>
    </row>
    <row r="18" spans="1:10" ht="15.75" customHeight="1" x14ac:dyDescent="0.25">
      <c r="A18" s="81">
        <v>2013</v>
      </c>
      <c r="B18" s="81" t="s">
        <v>30</v>
      </c>
      <c r="C18" s="10" t="s">
        <v>31</v>
      </c>
      <c r="D18" s="11">
        <v>120.76</v>
      </c>
      <c r="E18" s="12"/>
      <c r="F18" s="12"/>
      <c r="H18" s="1"/>
      <c r="J18" s="1"/>
    </row>
    <row r="19" spans="1:10" ht="15.75" customHeight="1" x14ac:dyDescent="0.25">
      <c r="A19" s="82"/>
      <c r="B19" s="82"/>
      <c r="C19" s="10" t="s">
        <v>32</v>
      </c>
      <c r="D19" s="11">
        <v>54.41</v>
      </c>
      <c r="E19" s="12"/>
      <c r="F19" s="12"/>
      <c r="H19" s="1"/>
      <c r="J19" s="1"/>
    </row>
    <row r="20" spans="1:10" ht="15.75" customHeight="1" x14ac:dyDescent="0.25">
      <c r="A20" s="9" t="s">
        <v>33</v>
      </c>
      <c r="B20" s="9" t="s">
        <v>34</v>
      </c>
      <c r="C20" s="10" t="s">
        <v>35</v>
      </c>
      <c r="D20" s="11">
        <v>105.92</v>
      </c>
      <c r="E20" s="12"/>
      <c r="F20" s="12"/>
      <c r="H20" s="1"/>
      <c r="J20" s="1"/>
    </row>
    <row r="21" spans="1:10" ht="15.75" customHeight="1" x14ac:dyDescent="0.25">
      <c r="A21" s="81">
        <v>2385</v>
      </c>
      <c r="B21" s="81">
        <v>1160</v>
      </c>
      <c r="C21" s="10" t="s">
        <v>36</v>
      </c>
      <c r="D21" s="11">
        <v>73.61</v>
      </c>
      <c r="E21" s="12"/>
      <c r="F21" s="12"/>
      <c r="H21" s="1"/>
      <c r="J21" s="1"/>
    </row>
    <row r="22" spans="1:10" ht="15.75" customHeight="1" x14ac:dyDescent="0.25">
      <c r="A22" s="82"/>
      <c r="B22" s="82"/>
      <c r="C22" s="10" t="s">
        <v>37</v>
      </c>
      <c r="D22" s="11">
        <v>0</v>
      </c>
      <c r="E22" s="12"/>
      <c r="F22" s="12"/>
      <c r="H22" s="1"/>
      <c r="J22" s="1"/>
    </row>
    <row r="23" spans="1:10" ht="15.75" customHeight="1" x14ac:dyDescent="0.25">
      <c r="A23" s="83"/>
      <c r="B23" s="83"/>
      <c r="C23" s="10" t="s">
        <v>38</v>
      </c>
      <c r="D23" s="11">
        <v>103.19</v>
      </c>
      <c r="E23" s="12"/>
      <c r="F23" s="12"/>
      <c r="H23" s="1"/>
      <c r="J23" s="1"/>
    </row>
    <row r="24" spans="1:10" ht="15.75" customHeight="1" x14ac:dyDescent="0.25">
      <c r="A24" s="82"/>
      <c r="B24" s="82"/>
      <c r="C24" s="10" t="s">
        <v>39</v>
      </c>
      <c r="D24" s="11">
        <v>203.85</v>
      </c>
      <c r="E24" s="12"/>
      <c r="F24" s="12"/>
    </row>
    <row r="25" spans="1:10" ht="15.75" customHeight="1" x14ac:dyDescent="0.25"/>
    <row r="26" spans="1:10" ht="15.75" customHeight="1" x14ac:dyDescent="0.25">
      <c r="A26" s="84" t="s">
        <v>40</v>
      </c>
      <c r="B26" s="85"/>
      <c r="C26" s="85"/>
      <c r="D26" s="85"/>
      <c r="E26" s="85"/>
      <c r="F26" s="86"/>
    </row>
    <row r="27" spans="1:10" ht="15.75" customHeight="1" x14ac:dyDescent="0.25">
      <c r="A27" s="9" t="s">
        <v>10</v>
      </c>
      <c r="B27" s="9" t="s">
        <v>11</v>
      </c>
      <c r="C27" s="84" t="s">
        <v>12</v>
      </c>
      <c r="D27" s="85"/>
      <c r="E27" s="85"/>
      <c r="F27" s="86"/>
    </row>
    <row r="28" spans="1:10" ht="15.75" customHeight="1" x14ac:dyDescent="0.25">
      <c r="A28" s="81" t="s">
        <v>41</v>
      </c>
      <c r="B28" s="91" t="s">
        <v>42</v>
      </c>
      <c r="C28" s="9" t="s">
        <v>15</v>
      </c>
      <c r="D28" s="9" t="s">
        <v>16</v>
      </c>
      <c r="E28" s="9" t="s">
        <v>17</v>
      </c>
      <c r="F28" s="9" t="s">
        <v>18</v>
      </c>
    </row>
    <row r="29" spans="1:10" ht="15.75" customHeight="1" x14ac:dyDescent="0.25">
      <c r="A29" s="82"/>
      <c r="B29" s="82"/>
      <c r="C29" s="10" t="s">
        <v>19</v>
      </c>
      <c r="D29" s="11">
        <v>172.07</v>
      </c>
      <c r="E29" s="12"/>
      <c r="F29" s="12"/>
    </row>
    <row r="30" spans="1:10" ht="15.75" customHeight="1" x14ac:dyDescent="0.25">
      <c r="A30" s="9" t="s">
        <v>20</v>
      </c>
      <c r="B30" s="9" t="s">
        <v>21</v>
      </c>
      <c r="C30" s="10" t="s">
        <v>22</v>
      </c>
      <c r="D30" s="11">
        <v>188.53</v>
      </c>
      <c r="E30" s="12"/>
      <c r="F30" s="12"/>
    </row>
    <row r="31" spans="1:10" ht="15.75" customHeight="1" x14ac:dyDescent="0.25">
      <c r="A31" s="81" t="s">
        <v>43</v>
      </c>
      <c r="B31" s="81" t="s">
        <v>24</v>
      </c>
      <c r="C31" s="10" t="s">
        <v>25</v>
      </c>
      <c r="D31" s="11">
        <v>173.08</v>
      </c>
      <c r="E31" s="12"/>
      <c r="F31" s="12"/>
    </row>
    <row r="32" spans="1:10" ht="15.75" customHeight="1" x14ac:dyDescent="0.25">
      <c r="A32" s="82"/>
      <c r="B32" s="82"/>
      <c r="C32" s="10" t="s">
        <v>26</v>
      </c>
      <c r="D32" s="11">
        <v>238.84</v>
      </c>
      <c r="E32" s="12"/>
      <c r="F32" s="12"/>
    </row>
    <row r="33" spans="1:6" ht="15.75" customHeight="1" x14ac:dyDescent="0.25">
      <c r="A33" s="9" t="s">
        <v>27</v>
      </c>
      <c r="B33" s="9" t="s">
        <v>28</v>
      </c>
      <c r="C33" s="10" t="s">
        <v>29</v>
      </c>
      <c r="D33" s="11">
        <v>370.63</v>
      </c>
      <c r="E33" s="12"/>
      <c r="F33" s="12"/>
    </row>
    <row r="34" spans="1:6" ht="15.75" customHeight="1" x14ac:dyDescent="0.25">
      <c r="A34" s="81">
        <v>2004</v>
      </c>
      <c r="B34" s="81" t="s">
        <v>30</v>
      </c>
      <c r="C34" s="10" t="s">
        <v>31</v>
      </c>
      <c r="D34" s="11">
        <v>329.83</v>
      </c>
      <c r="E34" s="12"/>
      <c r="F34" s="12"/>
    </row>
    <row r="35" spans="1:6" ht="15.75" customHeight="1" x14ac:dyDescent="0.25">
      <c r="A35" s="82"/>
      <c r="B35" s="82"/>
      <c r="C35" s="10" t="s">
        <v>32</v>
      </c>
      <c r="D35" s="11">
        <v>0</v>
      </c>
      <c r="E35" s="12"/>
      <c r="F35" s="12"/>
    </row>
    <row r="36" spans="1:6" ht="15.75" customHeight="1" x14ac:dyDescent="0.25">
      <c r="A36" s="9" t="s">
        <v>33</v>
      </c>
      <c r="B36" s="9" t="s">
        <v>34</v>
      </c>
      <c r="C36" s="10" t="s">
        <v>35</v>
      </c>
      <c r="D36" s="11">
        <v>0</v>
      </c>
      <c r="E36" s="12"/>
      <c r="F36" s="12"/>
    </row>
    <row r="37" spans="1:6" ht="15.75" customHeight="1" x14ac:dyDescent="0.25">
      <c r="A37" s="81">
        <v>2210</v>
      </c>
      <c r="B37" s="81">
        <v>1105</v>
      </c>
      <c r="C37" s="10" t="s">
        <v>36</v>
      </c>
      <c r="D37" s="11">
        <v>99.21</v>
      </c>
      <c r="E37" s="12"/>
      <c r="F37" s="12"/>
    </row>
    <row r="38" spans="1:6" ht="15.75" customHeight="1" x14ac:dyDescent="0.25">
      <c r="A38" s="82"/>
      <c r="B38" s="82"/>
      <c r="C38" s="10" t="s">
        <v>37</v>
      </c>
      <c r="D38" s="11">
        <v>97.9</v>
      </c>
      <c r="E38" s="12"/>
      <c r="F38" s="12"/>
    </row>
    <row r="39" spans="1:6" ht="15.75" customHeight="1" x14ac:dyDescent="0.25">
      <c r="A39" s="83"/>
      <c r="B39" s="83"/>
      <c r="C39" s="10" t="s">
        <v>38</v>
      </c>
      <c r="D39" s="11">
        <v>98.11</v>
      </c>
      <c r="E39" s="12"/>
      <c r="F39" s="12"/>
    </row>
    <row r="40" spans="1:6" ht="15.75" customHeight="1" x14ac:dyDescent="0.25">
      <c r="A40" s="82"/>
      <c r="B40" s="82"/>
      <c r="C40" s="10" t="s">
        <v>39</v>
      </c>
      <c r="D40" s="11">
        <v>17.28</v>
      </c>
      <c r="E40" s="12"/>
      <c r="F40" s="12"/>
    </row>
    <row r="41" spans="1:6" ht="15.75" customHeight="1" x14ac:dyDescent="0.25"/>
    <row r="42" spans="1:6" ht="15.75" customHeight="1" x14ac:dyDescent="0.25">
      <c r="A42" s="84" t="s">
        <v>44</v>
      </c>
      <c r="B42" s="85"/>
      <c r="C42" s="85"/>
      <c r="D42" s="85"/>
      <c r="E42" s="85"/>
      <c r="F42" s="86"/>
    </row>
    <row r="43" spans="1:6" ht="15.75" customHeight="1" x14ac:dyDescent="0.25">
      <c r="A43" s="9" t="s">
        <v>10</v>
      </c>
      <c r="B43" s="9" t="s">
        <v>11</v>
      </c>
      <c r="C43" s="84" t="s">
        <v>12</v>
      </c>
      <c r="D43" s="85"/>
      <c r="E43" s="85"/>
      <c r="F43" s="86"/>
    </row>
    <row r="44" spans="1:6" ht="15.75" customHeight="1" x14ac:dyDescent="0.25">
      <c r="A44" s="81" t="s">
        <v>45</v>
      </c>
      <c r="B44" s="81" t="s">
        <v>46</v>
      </c>
      <c r="C44" s="9" t="s">
        <v>15</v>
      </c>
      <c r="D44" s="9" t="s">
        <v>16</v>
      </c>
      <c r="E44" s="9" t="s">
        <v>17</v>
      </c>
      <c r="F44" s="9" t="s">
        <v>18</v>
      </c>
    </row>
    <row r="45" spans="1:6" ht="15.75" customHeight="1" x14ac:dyDescent="0.25">
      <c r="A45" s="82"/>
      <c r="B45" s="82"/>
      <c r="C45" s="10" t="s">
        <v>19</v>
      </c>
      <c r="D45" s="11">
        <v>193.61</v>
      </c>
      <c r="E45" s="12"/>
      <c r="F45" s="12"/>
    </row>
    <row r="46" spans="1:6" ht="15.75" customHeight="1" x14ac:dyDescent="0.25">
      <c r="A46" s="9" t="s">
        <v>20</v>
      </c>
      <c r="B46" s="9" t="s">
        <v>21</v>
      </c>
      <c r="C46" s="10" t="s">
        <v>22</v>
      </c>
      <c r="D46" s="11">
        <v>302.45</v>
      </c>
      <c r="E46" s="12"/>
      <c r="F46" s="12"/>
    </row>
    <row r="47" spans="1:6" ht="15.75" customHeight="1" x14ac:dyDescent="0.25">
      <c r="A47" s="81" t="s">
        <v>47</v>
      </c>
      <c r="B47" s="81" t="s">
        <v>24</v>
      </c>
      <c r="C47" s="10" t="s">
        <v>25</v>
      </c>
      <c r="D47" s="11">
        <v>207.32</v>
      </c>
      <c r="E47" s="12"/>
      <c r="F47" s="12"/>
    </row>
    <row r="48" spans="1:6" ht="15.75" customHeight="1" x14ac:dyDescent="0.25">
      <c r="A48" s="82"/>
      <c r="B48" s="82"/>
      <c r="C48" s="10" t="s">
        <v>26</v>
      </c>
      <c r="D48" s="11">
        <v>337.67</v>
      </c>
      <c r="E48" s="12"/>
      <c r="F48" s="12"/>
    </row>
    <row r="49" spans="1:6" ht="15.75" customHeight="1" x14ac:dyDescent="0.25">
      <c r="A49" s="9" t="s">
        <v>27</v>
      </c>
      <c r="B49" s="9" t="s">
        <v>28</v>
      </c>
      <c r="C49" s="10" t="s">
        <v>29</v>
      </c>
      <c r="D49" s="11">
        <v>333.44</v>
      </c>
      <c r="E49" s="12"/>
      <c r="F49" s="12"/>
    </row>
    <row r="50" spans="1:6" ht="15.75" customHeight="1" x14ac:dyDescent="0.25">
      <c r="A50" s="81">
        <v>1994</v>
      </c>
      <c r="B50" s="81" t="s">
        <v>48</v>
      </c>
      <c r="C50" s="10" t="s">
        <v>31</v>
      </c>
      <c r="D50" s="11">
        <v>202.97</v>
      </c>
      <c r="E50" s="12"/>
      <c r="F50" s="12"/>
    </row>
    <row r="51" spans="1:6" ht="15.75" customHeight="1" x14ac:dyDescent="0.25">
      <c r="A51" s="82"/>
      <c r="B51" s="82"/>
      <c r="C51" s="10" t="s">
        <v>32</v>
      </c>
      <c r="D51" s="11">
        <v>87.01</v>
      </c>
      <c r="E51" s="12"/>
      <c r="F51" s="12"/>
    </row>
    <row r="52" spans="1:6" ht="15.75" customHeight="1" x14ac:dyDescent="0.25">
      <c r="A52" s="9" t="s">
        <v>33</v>
      </c>
      <c r="B52" s="9" t="s">
        <v>34</v>
      </c>
      <c r="C52" s="10" t="s">
        <v>35</v>
      </c>
      <c r="D52" s="11">
        <v>138.36000000000001</v>
      </c>
      <c r="E52" s="12"/>
      <c r="F52" s="12"/>
    </row>
    <row r="53" spans="1:6" ht="15.75" customHeight="1" x14ac:dyDescent="0.25">
      <c r="A53" s="81">
        <v>2700</v>
      </c>
      <c r="B53" s="81">
        <v>1350</v>
      </c>
      <c r="C53" s="10" t="s">
        <v>36</v>
      </c>
      <c r="D53" s="11">
        <v>91.19</v>
      </c>
      <c r="E53" s="12"/>
      <c r="F53" s="12"/>
    </row>
    <row r="54" spans="1:6" ht="15.75" customHeight="1" x14ac:dyDescent="0.25">
      <c r="A54" s="82"/>
      <c r="B54" s="82"/>
      <c r="C54" s="10" t="s">
        <v>37</v>
      </c>
      <c r="D54" s="11">
        <v>43.74</v>
      </c>
      <c r="E54" s="12"/>
      <c r="F54" s="12"/>
    </row>
    <row r="55" spans="1:6" ht="15.75" customHeight="1" x14ac:dyDescent="0.25">
      <c r="A55" s="83"/>
      <c r="B55" s="83"/>
      <c r="C55" s="10" t="s">
        <v>38</v>
      </c>
      <c r="D55" s="11">
        <v>35.25</v>
      </c>
      <c r="E55" s="12"/>
      <c r="F55" s="12"/>
    </row>
    <row r="56" spans="1:6" ht="15.75" customHeight="1" x14ac:dyDescent="0.25">
      <c r="A56" s="82"/>
      <c r="B56" s="82"/>
      <c r="C56" s="10" t="s">
        <v>39</v>
      </c>
      <c r="D56" s="11">
        <v>25.54</v>
      </c>
      <c r="E56" s="12"/>
      <c r="F56" s="12"/>
    </row>
    <row r="57" spans="1:6" ht="15.75" customHeight="1" x14ac:dyDescent="0.25"/>
    <row r="58" spans="1:6" ht="15.75" customHeight="1" x14ac:dyDescent="0.25">
      <c r="A58" s="84" t="s">
        <v>49</v>
      </c>
      <c r="B58" s="85"/>
      <c r="C58" s="85"/>
      <c r="D58" s="85"/>
      <c r="E58" s="85"/>
      <c r="F58" s="86"/>
    </row>
    <row r="59" spans="1:6" ht="15.75" customHeight="1" x14ac:dyDescent="0.25">
      <c r="A59" s="9" t="s">
        <v>10</v>
      </c>
      <c r="B59" s="9" t="s">
        <v>11</v>
      </c>
      <c r="C59" s="84" t="s">
        <v>12</v>
      </c>
      <c r="D59" s="85"/>
      <c r="E59" s="85"/>
      <c r="F59" s="86"/>
    </row>
    <row r="60" spans="1:6" ht="15.75" customHeight="1" x14ac:dyDescent="0.25">
      <c r="A60" s="81" t="s">
        <v>50</v>
      </c>
      <c r="B60" s="81" t="s">
        <v>51</v>
      </c>
      <c r="C60" s="9" t="s">
        <v>15</v>
      </c>
      <c r="D60" s="9" t="s">
        <v>16</v>
      </c>
      <c r="E60" s="9" t="s">
        <v>17</v>
      </c>
      <c r="F60" s="9" t="s">
        <v>18</v>
      </c>
    </row>
    <row r="61" spans="1:6" ht="15.75" customHeight="1" x14ac:dyDescent="0.25">
      <c r="A61" s="82"/>
      <c r="B61" s="82"/>
      <c r="C61" s="10" t="s">
        <v>19</v>
      </c>
      <c r="D61" s="11">
        <v>0</v>
      </c>
      <c r="E61" s="12"/>
      <c r="F61" s="12"/>
    </row>
    <row r="62" spans="1:6" ht="15.75" customHeight="1" x14ac:dyDescent="0.25">
      <c r="A62" s="9" t="s">
        <v>20</v>
      </c>
      <c r="B62" s="9" t="s">
        <v>21</v>
      </c>
      <c r="C62" s="10" t="s">
        <v>22</v>
      </c>
      <c r="D62" s="11">
        <v>0</v>
      </c>
      <c r="E62" s="12"/>
      <c r="F62" s="12"/>
    </row>
    <row r="63" spans="1:6" ht="15.75" customHeight="1" x14ac:dyDescent="0.25">
      <c r="A63" s="81" t="s">
        <v>52</v>
      </c>
      <c r="B63" s="81" t="s">
        <v>24</v>
      </c>
      <c r="C63" s="10" t="s">
        <v>25</v>
      </c>
      <c r="D63" s="10">
        <v>0</v>
      </c>
      <c r="E63" s="12"/>
      <c r="F63" s="12"/>
    </row>
    <row r="64" spans="1:6" ht="15.75" customHeight="1" x14ac:dyDescent="0.25">
      <c r="A64" s="82"/>
      <c r="B64" s="82"/>
      <c r="C64" s="10" t="s">
        <v>26</v>
      </c>
      <c r="D64" s="10">
        <v>0</v>
      </c>
      <c r="E64" s="12"/>
      <c r="F64" s="12"/>
    </row>
    <row r="65" spans="1:6" ht="15.75" customHeight="1" x14ac:dyDescent="0.25">
      <c r="A65" s="9" t="s">
        <v>27</v>
      </c>
      <c r="B65" s="9" t="s">
        <v>28</v>
      </c>
      <c r="C65" s="10" t="s">
        <v>29</v>
      </c>
      <c r="D65" s="10">
        <v>0</v>
      </c>
      <c r="E65" s="12"/>
      <c r="F65" s="12"/>
    </row>
    <row r="66" spans="1:6" ht="15.75" customHeight="1" x14ac:dyDescent="0.25">
      <c r="A66" s="81">
        <v>2024</v>
      </c>
      <c r="B66" s="81" t="s">
        <v>53</v>
      </c>
      <c r="C66" s="10" t="s">
        <v>31</v>
      </c>
      <c r="D66" s="10">
        <v>0</v>
      </c>
      <c r="E66" s="12"/>
      <c r="F66" s="12"/>
    </row>
    <row r="67" spans="1:6" ht="15.75" customHeight="1" x14ac:dyDescent="0.25">
      <c r="A67" s="82"/>
      <c r="B67" s="82"/>
      <c r="C67" s="10" t="s">
        <v>32</v>
      </c>
      <c r="D67" s="10">
        <v>0</v>
      </c>
      <c r="E67" s="12"/>
      <c r="F67" s="12"/>
    </row>
    <row r="68" spans="1:6" ht="15.75" customHeight="1" x14ac:dyDescent="0.25">
      <c r="A68" s="9" t="s">
        <v>33</v>
      </c>
      <c r="B68" s="9" t="s">
        <v>34</v>
      </c>
      <c r="C68" s="10" t="s">
        <v>35</v>
      </c>
      <c r="D68" s="10">
        <v>0</v>
      </c>
      <c r="E68" s="12"/>
      <c r="F68" s="12"/>
    </row>
    <row r="69" spans="1:6" ht="15.75" customHeight="1" x14ac:dyDescent="0.25">
      <c r="A69" s="81">
        <v>10000</v>
      </c>
      <c r="B69" s="81">
        <v>5000</v>
      </c>
      <c r="C69" s="10" t="s">
        <v>36</v>
      </c>
      <c r="D69" s="10">
        <v>0</v>
      </c>
      <c r="E69" s="12"/>
      <c r="F69" s="12"/>
    </row>
    <row r="70" spans="1:6" ht="15.75" customHeight="1" x14ac:dyDescent="0.25">
      <c r="A70" s="82"/>
      <c r="B70" s="82"/>
      <c r="C70" s="10" t="s">
        <v>37</v>
      </c>
      <c r="D70" s="10">
        <v>150.94</v>
      </c>
      <c r="E70" s="12"/>
      <c r="F70" s="12"/>
    </row>
    <row r="71" spans="1:6" ht="15.75" customHeight="1" x14ac:dyDescent="0.25">
      <c r="A71" s="83"/>
      <c r="B71" s="83"/>
      <c r="C71" s="10" t="s">
        <v>38</v>
      </c>
      <c r="D71" s="10">
        <v>145</v>
      </c>
      <c r="E71" s="12"/>
      <c r="F71" s="12"/>
    </row>
    <row r="72" spans="1:6" ht="15.75" customHeight="1" x14ac:dyDescent="0.25">
      <c r="A72" s="82"/>
      <c r="B72" s="82"/>
      <c r="C72" s="10" t="s">
        <v>39</v>
      </c>
      <c r="D72" s="10">
        <v>86.14</v>
      </c>
      <c r="E72" s="12"/>
      <c r="F72" s="12"/>
    </row>
    <row r="73" spans="1:6" ht="15.75" customHeight="1" x14ac:dyDescent="0.25"/>
    <row r="74" spans="1:6" ht="15.75" customHeight="1" x14ac:dyDescent="0.25">
      <c r="A74" s="84" t="s">
        <v>54</v>
      </c>
      <c r="B74" s="85"/>
      <c r="C74" s="85"/>
      <c r="D74" s="85"/>
      <c r="E74" s="85"/>
      <c r="F74" s="86"/>
    </row>
    <row r="75" spans="1:6" ht="15.75" customHeight="1" x14ac:dyDescent="0.25">
      <c r="A75" s="9" t="s">
        <v>10</v>
      </c>
      <c r="B75" s="9" t="s">
        <v>11</v>
      </c>
      <c r="C75" s="84" t="s">
        <v>12</v>
      </c>
      <c r="D75" s="85"/>
      <c r="E75" s="85"/>
      <c r="F75" s="86"/>
    </row>
    <row r="76" spans="1:6" ht="15.75" customHeight="1" x14ac:dyDescent="0.25">
      <c r="A76" s="81" t="s">
        <v>50</v>
      </c>
      <c r="B76" s="81" t="s">
        <v>55</v>
      </c>
      <c r="C76" s="9" t="s">
        <v>15</v>
      </c>
      <c r="D76" s="9" t="s">
        <v>16</v>
      </c>
      <c r="E76" s="9" t="s">
        <v>17</v>
      </c>
      <c r="F76" s="9" t="s">
        <v>18</v>
      </c>
    </row>
    <row r="77" spans="1:6" ht="15.75" customHeight="1" x14ac:dyDescent="0.25">
      <c r="A77" s="82"/>
      <c r="B77" s="82"/>
      <c r="C77" s="10" t="s">
        <v>19</v>
      </c>
      <c r="D77" s="11">
        <v>0</v>
      </c>
      <c r="E77" s="12"/>
      <c r="F77" s="12"/>
    </row>
    <row r="78" spans="1:6" ht="15.75" customHeight="1" x14ac:dyDescent="0.25">
      <c r="A78" s="9" t="s">
        <v>20</v>
      </c>
      <c r="B78" s="9" t="s">
        <v>21</v>
      </c>
      <c r="C78" s="10" t="s">
        <v>22</v>
      </c>
      <c r="D78" s="11">
        <v>0</v>
      </c>
      <c r="E78" s="12"/>
      <c r="F78" s="12"/>
    </row>
    <row r="79" spans="1:6" ht="15.75" customHeight="1" x14ac:dyDescent="0.25">
      <c r="A79" s="81" t="s">
        <v>56</v>
      </c>
      <c r="B79" s="81" t="s">
        <v>24</v>
      </c>
      <c r="C79" s="10" t="s">
        <v>25</v>
      </c>
      <c r="D79" s="10">
        <v>0</v>
      </c>
      <c r="E79" s="12"/>
      <c r="F79" s="12"/>
    </row>
    <row r="80" spans="1:6" ht="15.75" customHeight="1" x14ac:dyDescent="0.25">
      <c r="A80" s="82"/>
      <c r="B80" s="82"/>
      <c r="C80" s="10" t="s">
        <v>26</v>
      </c>
      <c r="D80" s="10">
        <v>0</v>
      </c>
      <c r="E80" s="12"/>
      <c r="F80" s="12"/>
    </row>
    <row r="81" spans="1:6" ht="15.75" customHeight="1" x14ac:dyDescent="0.25">
      <c r="A81" s="9" t="s">
        <v>27</v>
      </c>
      <c r="B81" s="9" t="s">
        <v>28</v>
      </c>
      <c r="C81" s="10" t="s">
        <v>29</v>
      </c>
      <c r="D81" s="10">
        <v>0</v>
      </c>
      <c r="E81" s="12"/>
      <c r="F81" s="12"/>
    </row>
    <row r="82" spans="1:6" ht="15.75" customHeight="1" x14ac:dyDescent="0.25">
      <c r="A82" s="81">
        <v>2024</v>
      </c>
      <c r="B82" s="81" t="s">
        <v>53</v>
      </c>
      <c r="C82" s="10" t="s">
        <v>31</v>
      </c>
      <c r="D82" s="10">
        <v>0</v>
      </c>
      <c r="E82" s="12"/>
      <c r="F82" s="12"/>
    </row>
    <row r="83" spans="1:6" ht="15.75" customHeight="1" x14ac:dyDescent="0.25">
      <c r="A83" s="82"/>
      <c r="B83" s="82"/>
      <c r="C83" s="10" t="s">
        <v>32</v>
      </c>
      <c r="D83" s="10">
        <v>0</v>
      </c>
      <c r="E83" s="12"/>
      <c r="F83" s="12"/>
    </row>
    <row r="84" spans="1:6" ht="15.75" customHeight="1" x14ac:dyDescent="0.25">
      <c r="A84" s="9" t="s">
        <v>33</v>
      </c>
      <c r="B84" s="9" t="s">
        <v>34</v>
      </c>
      <c r="C84" s="10" t="s">
        <v>35</v>
      </c>
      <c r="D84" s="10">
        <v>46.64</v>
      </c>
      <c r="E84" s="12"/>
      <c r="F84" s="12"/>
    </row>
    <row r="85" spans="1:6" ht="15.75" customHeight="1" x14ac:dyDescent="0.25">
      <c r="A85" s="81">
        <v>10000</v>
      </c>
      <c r="B85" s="81">
        <v>5000</v>
      </c>
      <c r="C85" s="10" t="s">
        <v>36</v>
      </c>
      <c r="D85" s="10">
        <v>180.53</v>
      </c>
      <c r="E85" s="12"/>
      <c r="F85" s="12"/>
    </row>
    <row r="86" spans="1:6" ht="15.75" customHeight="1" x14ac:dyDescent="0.25">
      <c r="A86" s="82"/>
      <c r="B86" s="82"/>
      <c r="C86" s="10" t="s">
        <v>37</v>
      </c>
      <c r="D86" s="10">
        <v>0</v>
      </c>
      <c r="E86" s="12"/>
      <c r="F86" s="12"/>
    </row>
    <row r="87" spans="1:6" ht="15.75" customHeight="1" x14ac:dyDescent="0.25">
      <c r="A87" s="83"/>
      <c r="B87" s="83"/>
      <c r="C87" s="10" t="s">
        <v>38</v>
      </c>
      <c r="D87" s="10">
        <v>0</v>
      </c>
      <c r="E87" s="12"/>
      <c r="F87" s="12"/>
    </row>
    <row r="88" spans="1:6" ht="15.75" customHeight="1" x14ac:dyDescent="0.25">
      <c r="A88" s="82"/>
      <c r="B88" s="82"/>
      <c r="C88" s="10" t="s">
        <v>39</v>
      </c>
      <c r="D88" s="10">
        <v>349.57</v>
      </c>
      <c r="E88" s="12"/>
      <c r="F88" s="12"/>
    </row>
    <row r="89" spans="1:6" ht="15.75" customHeight="1" x14ac:dyDescent="0.25"/>
    <row r="90" spans="1:6" ht="15.75" customHeight="1" x14ac:dyDescent="0.25">
      <c r="A90" s="84" t="s">
        <v>57</v>
      </c>
      <c r="B90" s="85"/>
      <c r="C90" s="85"/>
      <c r="D90" s="85"/>
      <c r="E90" s="85"/>
      <c r="F90" s="86"/>
    </row>
    <row r="91" spans="1:6" ht="15.75" customHeight="1" x14ac:dyDescent="0.25">
      <c r="A91" s="9" t="s">
        <v>10</v>
      </c>
      <c r="B91" s="9" t="s">
        <v>11</v>
      </c>
      <c r="C91" s="84" t="s">
        <v>12</v>
      </c>
      <c r="D91" s="85"/>
      <c r="E91" s="85"/>
      <c r="F91" s="86"/>
    </row>
    <row r="92" spans="1:6" ht="15.75" customHeight="1" x14ac:dyDescent="0.25">
      <c r="A92" s="81" t="s">
        <v>58</v>
      </c>
      <c r="B92" s="81" t="s">
        <v>59</v>
      </c>
      <c r="C92" s="9" t="s">
        <v>15</v>
      </c>
      <c r="D92" s="9" t="s">
        <v>16</v>
      </c>
      <c r="E92" s="9" t="s">
        <v>17</v>
      </c>
      <c r="F92" s="9" t="s">
        <v>18</v>
      </c>
    </row>
    <row r="93" spans="1:6" ht="15.75" customHeight="1" x14ac:dyDescent="0.25">
      <c r="A93" s="82"/>
      <c r="B93" s="82"/>
      <c r="C93" s="10" t="s">
        <v>19</v>
      </c>
      <c r="D93" s="11">
        <v>0</v>
      </c>
      <c r="E93" s="12"/>
      <c r="F93" s="12"/>
    </row>
    <row r="94" spans="1:6" ht="15.75" customHeight="1" x14ac:dyDescent="0.25">
      <c r="A94" s="9" t="s">
        <v>20</v>
      </c>
      <c r="B94" s="9" t="s">
        <v>21</v>
      </c>
      <c r="C94" s="10" t="s">
        <v>22</v>
      </c>
      <c r="D94" s="11">
        <v>0</v>
      </c>
      <c r="E94" s="12"/>
      <c r="F94" s="12"/>
    </row>
    <row r="95" spans="1:6" ht="15.75" customHeight="1" x14ac:dyDescent="0.25">
      <c r="A95" s="81" t="s">
        <v>60</v>
      </c>
      <c r="B95" s="81" t="s">
        <v>24</v>
      </c>
      <c r="C95" s="10" t="s">
        <v>25</v>
      </c>
      <c r="D95" s="11">
        <v>0</v>
      </c>
      <c r="E95" s="12"/>
      <c r="F95" s="12"/>
    </row>
    <row r="96" spans="1:6" ht="15.75" customHeight="1" x14ac:dyDescent="0.25">
      <c r="A96" s="82"/>
      <c r="B96" s="82"/>
      <c r="C96" s="10" t="s">
        <v>26</v>
      </c>
      <c r="D96" s="11">
        <v>0</v>
      </c>
      <c r="E96" s="12"/>
      <c r="F96" s="12"/>
    </row>
    <row r="97" spans="1:6" ht="15.75" customHeight="1" x14ac:dyDescent="0.25">
      <c r="A97" s="9" t="s">
        <v>27</v>
      </c>
      <c r="B97" s="9" t="s">
        <v>28</v>
      </c>
      <c r="C97" s="10" t="s">
        <v>29</v>
      </c>
      <c r="D97" s="11">
        <v>0</v>
      </c>
      <c r="E97" s="12"/>
      <c r="F97" s="12"/>
    </row>
    <row r="98" spans="1:6" ht="15.75" customHeight="1" x14ac:dyDescent="0.25">
      <c r="A98" s="81">
        <v>2002</v>
      </c>
      <c r="B98" s="81" t="s">
        <v>61</v>
      </c>
      <c r="C98" s="10" t="s">
        <v>31</v>
      </c>
      <c r="D98" s="11">
        <v>0</v>
      </c>
      <c r="E98" s="12"/>
      <c r="F98" s="12"/>
    </row>
    <row r="99" spans="1:6" ht="15.75" customHeight="1" x14ac:dyDescent="0.25">
      <c r="A99" s="82"/>
      <c r="B99" s="82"/>
      <c r="C99" s="10" t="s">
        <v>32</v>
      </c>
      <c r="D99" s="11">
        <v>0</v>
      </c>
      <c r="E99" s="12"/>
      <c r="F99" s="12"/>
    </row>
    <row r="100" spans="1:6" ht="15.75" customHeight="1" x14ac:dyDescent="0.25">
      <c r="A100" s="9" t="s">
        <v>33</v>
      </c>
      <c r="B100" s="9" t="s">
        <v>34</v>
      </c>
      <c r="C100" s="10" t="s">
        <v>35</v>
      </c>
      <c r="D100" s="10">
        <v>0</v>
      </c>
      <c r="E100" s="12"/>
      <c r="F100" s="12"/>
    </row>
    <row r="101" spans="1:6" ht="15.75" customHeight="1" x14ac:dyDescent="0.25">
      <c r="A101" s="81">
        <v>2700</v>
      </c>
      <c r="B101" s="81">
        <v>1350</v>
      </c>
      <c r="C101" s="10" t="s">
        <v>36</v>
      </c>
      <c r="D101" s="10">
        <v>0</v>
      </c>
      <c r="E101" s="12"/>
      <c r="F101" s="12"/>
    </row>
    <row r="102" spans="1:6" ht="15.75" customHeight="1" x14ac:dyDescent="0.25">
      <c r="A102" s="82"/>
      <c r="B102" s="82"/>
      <c r="C102" s="10" t="s">
        <v>37</v>
      </c>
      <c r="D102" s="10">
        <v>0</v>
      </c>
      <c r="E102" s="12"/>
      <c r="F102" s="12"/>
    </row>
    <row r="103" spans="1:6" ht="15.75" customHeight="1" x14ac:dyDescent="0.25">
      <c r="A103" s="83"/>
      <c r="B103" s="83"/>
      <c r="C103" s="10" t="s">
        <v>38</v>
      </c>
      <c r="D103" s="10">
        <v>0</v>
      </c>
      <c r="E103" s="12"/>
      <c r="F103" s="12"/>
    </row>
    <row r="104" spans="1:6" ht="15.75" customHeight="1" x14ac:dyDescent="0.25">
      <c r="A104" s="82"/>
      <c r="B104" s="82"/>
      <c r="C104" s="10" t="s">
        <v>39</v>
      </c>
      <c r="D104" s="10">
        <v>0</v>
      </c>
      <c r="E104" s="12"/>
      <c r="F104" s="12"/>
    </row>
    <row r="105" spans="1:6" ht="15.75" customHeight="1" x14ac:dyDescent="0.25"/>
    <row r="106" spans="1:6" ht="15.75" customHeight="1" x14ac:dyDescent="0.25">
      <c r="A106" s="84" t="s">
        <v>62</v>
      </c>
      <c r="B106" s="85"/>
      <c r="C106" s="85"/>
      <c r="D106" s="85"/>
      <c r="E106" s="85"/>
      <c r="F106" s="86"/>
    </row>
    <row r="107" spans="1:6" ht="15.75" customHeight="1" x14ac:dyDescent="0.25">
      <c r="A107" s="9" t="s">
        <v>10</v>
      </c>
      <c r="B107" s="9" t="s">
        <v>11</v>
      </c>
      <c r="C107" s="84" t="s">
        <v>12</v>
      </c>
      <c r="D107" s="85"/>
      <c r="E107" s="85"/>
      <c r="F107" s="86"/>
    </row>
    <row r="108" spans="1:6" ht="15.75" customHeight="1" x14ac:dyDescent="0.25">
      <c r="A108" s="81" t="s">
        <v>41</v>
      </c>
      <c r="B108" s="81" t="s">
        <v>63</v>
      </c>
      <c r="C108" s="9" t="s">
        <v>15</v>
      </c>
      <c r="D108" s="9" t="s">
        <v>16</v>
      </c>
      <c r="E108" s="9" t="s">
        <v>17</v>
      </c>
      <c r="F108" s="9" t="s">
        <v>18</v>
      </c>
    </row>
    <row r="109" spans="1:6" ht="15.75" customHeight="1" x14ac:dyDescent="0.25">
      <c r="A109" s="82"/>
      <c r="B109" s="82"/>
      <c r="C109" s="10" t="s">
        <v>19</v>
      </c>
      <c r="D109" s="11">
        <v>0</v>
      </c>
      <c r="E109" s="12"/>
      <c r="F109" s="12"/>
    </row>
    <row r="110" spans="1:6" ht="15.75" customHeight="1" x14ac:dyDescent="0.25">
      <c r="A110" s="9" t="s">
        <v>20</v>
      </c>
      <c r="B110" s="9" t="s">
        <v>21</v>
      </c>
      <c r="C110" s="10" t="s">
        <v>22</v>
      </c>
      <c r="D110" s="11">
        <v>0</v>
      </c>
      <c r="E110" s="12"/>
      <c r="F110" s="12"/>
    </row>
    <row r="111" spans="1:6" ht="15.75" customHeight="1" x14ac:dyDescent="0.25">
      <c r="A111" s="81" t="s">
        <v>64</v>
      </c>
      <c r="B111" s="81" t="s">
        <v>24</v>
      </c>
      <c r="C111" s="10" t="s">
        <v>25</v>
      </c>
      <c r="D111" s="11">
        <v>0</v>
      </c>
      <c r="E111" s="12"/>
      <c r="F111" s="12"/>
    </row>
    <row r="112" spans="1:6" ht="15.75" customHeight="1" x14ac:dyDescent="0.25">
      <c r="A112" s="82"/>
      <c r="B112" s="82"/>
      <c r="C112" s="10" t="s">
        <v>26</v>
      </c>
      <c r="D112" s="11">
        <v>0</v>
      </c>
      <c r="E112" s="12"/>
      <c r="F112" s="12"/>
    </row>
    <row r="113" spans="1:6" ht="15.75" customHeight="1" x14ac:dyDescent="0.25">
      <c r="A113" s="9" t="s">
        <v>27</v>
      </c>
      <c r="B113" s="9" t="s">
        <v>28</v>
      </c>
      <c r="C113" s="10" t="s">
        <v>29</v>
      </c>
      <c r="D113" s="11">
        <v>0</v>
      </c>
      <c r="E113" s="12"/>
      <c r="F113" s="12"/>
    </row>
    <row r="114" spans="1:6" ht="15.75" customHeight="1" x14ac:dyDescent="0.25">
      <c r="A114" s="81">
        <v>1998</v>
      </c>
      <c r="B114" s="81" t="s">
        <v>63</v>
      </c>
      <c r="C114" s="10" t="s">
        <v>31</v>
      </c>
      <c r="D114" s="11">
        <v>0</v>
      </c>
      <c r="E114" s="12"/>
      <c r="F114" s="12"/>
    </row>
    <row r="115" spans="1:6" ht="15.75" customHeight="1" x14ac:dyDescent="0.25">
      <c r="A115" s="82"/>
      <c r="B115" s="82"/>
      <c r="C115" s="10" t="s">
        <v>32</v>
      </c>
      <c r="D115" s="11">
        <v>0</v>
      </c>
      <c r="E115" s="12"/>
      <c r="F115" s="12"/>
    </row>
    <row r="116" spans="1:6" ht="15.75" customHeight="1" x14ac:dyDescent="0.25">
      <c r="A116" s="9" t="s">
        <v>33</v>
      </c>
      <c r="B116" s="9" t="s">
        <v>34</v>
      </c>
      <c r="C116" s="10" t="s">
        <v>35</v>
      </c>
      <c r="D116" s="10">
        <v>0</v>
      </c>
      <c r="E116" s="12"/>
      <c r="F116" s="12"/>
    </row>
    <row r="117" spans="1:6" ht="15.75" customHeight="1" x14ac:dyDescent="0.25">
      <c r="A117" s="81">
        <v>3200</v>
      </c>
      <c r="B117" s="81">
        <v>1600</v>
      </c>
      <c r="C117" s="10" t="s">
        <v>36</v>
      </c>
      <c r="D117" s="10">
        <v>0</v>
      </c>
      <c r="E117" s="12"/>
      <c r="F117" s="12"/>
    </row>
    <row r="118" spans="1:6" ht="15.75" customHeight="1" x14ac:dyDescent="0.25">
      <c r="A118" s="82"/>
      <c r="B118" s="82"/>
      <c r="C118" s="10" t="s">
        <v>37</v>
      </c>
      <c r="D118" s="10">
        <v>0</v>
      </c>
      <c r="E118" s="12"/>
      <c r="F118" s="12"/>
    </row>
    <row r="119" spans="1:6" ht="15.75" customHeight="1" x14ac:dyDescent="0.25">
      <c r="A119" s="83"/>
      <c r="B119" s="83"/>
      <c r="C119" s="10" t="s">
        <v>38</v>
      </c>
      <c r="D119" s="10">
        <v>0</v>
      </c>
      <c r="E119" s="12"/>
      <c r="F119" s="12"/>
    </row>
    <row r="120" spans="1:6" ht="15.75" customHeight="1" x14ac:dyDescent="0.25">
      <c r="A120" s="82"/>
      <c r="B120" s="82"/>
      <c r="C120" s="10" t="s">
        <v>39</v>
      </c>
      <c r="D120" s="10">
        <v>0</v>
      </c>
      <c r="E120" s="12"/>
      <c r="F120" s="12"/>
    </row>
    <row r="121" spans="1:6" ht="15.75" customHeight="1" x14ac:dyDescent="0.25">
      <c r="A121" s="13"/>
      <c r="B121" s="14"/>
      <c r="C121" s="15"/>
      <c r="D121" s="16"/>
      <c r="E121" s="16"/>
      <c r="F121" s="17"/>
    </row>
    <row r="122" spans="1:6" ht="15.75" customHeight="1" x14ac:dyDescent="0.25">
      <c r="A122" s="84" t="s">
        <v>65</v>
      </c>
      <c r="B122" s="85"/>
      <c r="C122" s="85"/>
      <c r="D122" s="85"/>
      <c r="E122" s="85"/>
      <c r="F122" s="86"/>
    </row>
    <row r="123" spans="1:6" ht="15.75" customHeight="1" x14ac:dyDescent="0.25">
      <c r="A123" s="9" t="s">
        <v>10</v>
      </c>
      <c r="B123" s="9" t="s">
        <v>11</v>
      </c>
      <c r="C123" s="84" t="s">
        <v>12</v>
      </c>
      <c r="D123" s="85"/>
      <c r="E123" s="85"/>
      <c r="F123" s="86"/>
    </row>
    <row r="124" spans="1:6" ht="15.75" customHeight="1" x14ac:dyDescent="0.25">
      <c r="A124" s="81" t="s">
        <v>66</v>
      </c>
      <c r="B124" s="81" t="s">
        <v>67</v>
      </c>
      <c r="C124" s="9" t="s">
        <v>15</v>
      </c>
      <c r="D124" s="9" t="s">
        <v>16</v>
      </c>
      <c r="E124" s="9" t="s">
        <v>17</v>
      </c>
      <c r="F124" s="9" t="s">
        <v>18</v>
      </c>
    </row>
    <row r="125" spans="1:6" ht="15.75" customHeight="1" x14ac:dyDescent="0.25">
      <c r="A125" s="82"/>
      <c r="B125" s="82"/>
      <c r="C125" s="10" t="s">
        <v>19</v>
      </c>
      <c r="D125" s="11">
        <v>0</v>
      </c>
      <c r="E125" s="12"/>
      <c r="F125" s="12"/>
    </row>
    <row r="126" spans="1:6" ht="15.75" customHeight="1" x14ac:dyDescent="0.25">
      <c r="A126" s="9" t="s">
        <v>20</v>
      </c>
      <c r="B126" s="9" t="s">
        <v>21</v>
      </c>
      <c r="C126" s="10" t="s">
        <v>22</v>
      </c>
      <c r="D126" s="11">
        <v>38.08</v>
      </c>
      <c r="E126" s="12"/>
      <c r="F126" s="12"/>
    </row>
    <row r="127" spans="1:6" ht="15.75" customHeight="1" x14ac:dyDescent="0.25">
      <c r="A127" s="81" t="s">
        <v>68</v>
      </c>
      <c r="B127" s="81" t="s">
        <v>24</v>
      </c>
      <c r="C127" s="10" t="s">
        <v>25</v>
      </c>
      <c r="D127" s="11">
        <v>31.59</v>
      </c>
      <c r="E127" s="12"/>
      <c r="F127" s="12"/>
    </row>
    <row r="128" spans="1:6" ht="15.75" customHeight="1" x14ac:dyDescent="0.25">
      <c r="A128" s="82"/>
      <c r="B128" s="82"/>
      <c r="C128" s="10" t="s">
        <v>26</v>
      </c>
      <c r="D128" s="11">
        <v>55.22</v>
      </c>
      <c r="E128" s="12"/>
      <c r="F128" s="12"/>
    </row>
    <row r="129" spans="1:6" ht="15.75" customHeight="1" x14ac:dyDescent="0.25">
      <c r="A129" s="9" t="s">
        <v>27</v>
      </c>
      <c r="B129" s="9" t="s">
        <v>28</v>
      </c>
      <c r="C129" s="10" t="s">
        <v>29</v>
      </c>
      <c r="D129" s="11">
        <v>0</v>
      </c>
      <c r="E129" s="12"/>
      <c r="F129" s="12"/>
    </row>
    <row r="130" spans="1:6" ht="15.75" customHeight="1" x14ac:dyDescent="0.25">
      <c r="A130" s="81">
        <v>2015</v>
      </c>
      <c r="B130" s="81" t="s">
        <v>69</v>
      </c>
      <c r="C130" s="10" t="s">
        <v>31</v>
      </c>
      <c r="D130" s="11">
        <v>16.43</v>
      </c>
      <c r="E130" s="12"/>
      <c r="F130" s="12"/>
    </row>
    <row r="131" spans="1:6" ht="15.75" customHeight="1" x14ac:dyDescent="0.25">
      <c r="A131" s="82"/>
      <c r="B131" s="82"/>
      <c r="C131" s="10" t="s">
        <v>32</v>
      </c>
      <c r="D131" s="11">
        <v>31.3</v>
      </c>
      <c r="E131" s="12"/>
      <c r="F131" s="12"/>
    </row>
    <row r="132" spans="1:6" ht="15.75" customHeight="1" x14ac:dyDescent="0.25">
      <c r="A132" s="9" t="s">
        <v>33</v>
      </c>
      <c r="B132" s="9" t="s">
        <v>34</v>
      </c>
      <c r="C132" s="10" t="s">
        <v>35</v>
      </c>
      <c r="D132" s="11">
        <v>0</v>
      </c>
      <c r="E132" s="12"/>
      <c r="F132" s="12"/>
    </row>
    <row r="133" spans="1:6" ht="15.75" customHeight="1" x14ac:dyDescent="0.25">
      <c r="A133" s="81">
        <v>2953</v>
      </c>
      <c r="B133" s="81">
        <v>2113</v>
      </c>
      <c r="C133" s="10" t="s">
        <v>36</v>
      </c>
      <c r="D133" s="11">
        <v>43.25</v>
      </c>
      <c r="E133" s="12"/>
      <c r="F133" s="12"/>
    </row>
    <row r="134" spans="1:6" ht="15.75" customHeight="1" x14ac:dyDescent="0.25">
      <c r="A134" s="82"/>
      <c r="B134" s="82"/>
      <c r="C134" s="10" t="s">
        <v>37</v>
      </c>
      <c r="D134" s="11">
        <v>0</v>
      </c>
      <c r="E134" s="12"/>
      <c r="F134" s="12"/>
    </row>
    <row r="135" spans="1:6" ht="15.75" customHeight="1" x14ac:dyDescent="0.25">
      <c r="A135" s="83"/>
      <c r="B135" s="83"/>
      <c r="C135" s="10" t="s">
        <v>38</v>
      </c>
      <c r="D135" s="11">
        <v>44.19</v>
      </c>
      <c r="E135" s="12"/>
      <c r="F135" s="12"/>
    </row>
    <row r="136" spans="1:6" ht="15.75" customHeight="1" x14ac:dyDescent="0.25">
      <c r="A136" s="82"/>
      <c r="B136" s="82"/>
      <c r="C136" s="10" t="s">
        <v>39</v>
      </c>
      <c r="D136" s="11">
        <v>25.54</v>
      </c>
      <c r="E136" s="12"/>
      <c r="F136" s="12"/>
    </row>
    <row r="137" spans="1:6" ht="15.75" customHeight="1" x14ac:dyDescent="0.25"/>
    <row r="138" spans="1:6" ht="15.75" customHeight="1" x14ac:dyDescent="0.25"/>
    <row r="139" spans="1:6" ht="15.75" customHeight="1" x14ac:dyDescent="0.25"/>
    <row r="140" spans="1:6" ht="15.75" customHeight="1" x14ac:dyDescent="0.25"/>
    <row r="141" spans="1:6" ht="15.75" customHeight="1" x14ac:dyDescent="0.25">
      <c r="A141" s="84" t="s">
        <v>70</v>
      </c>
      <c r="B141" s="85"/>
      <c r="C141" s="85"/>
      <c r="D141" s="85"/>
      <c r="E141" s="85"/>
      <c r="F141" s="86"/>
    </row>
    <row r="142" spans="1:6" ht="15.75" customHeight="1" x14ac:dyDescent="0.25">
      <c r="A142" s="9" t="s">
        <v>10</v>
      </c>
      <c r="B142" s="9" t="s">
        <v>11</v>
      </c>
      <c r="C142" s="84" t="s">
        <v>12</v>
      </c>
      <c r="D142" s="85"/>
      <c r="E142" s="85"/>
      <c r="F142" s="86"/>
    </row>
    <row r="143" spans="1:6" ht="15.75" customHeight="1" x14ac:dyDescent="0.25">
      <c r="A143" s="81" t="s">
        <v>58</v>
      </c>
      <c r="B143" s="81" t="s">
        <v>71</v>
      </c>
      <c r="C143" s="9" t="s">
        <v>15</v>
      </c>
      <c r="D143" s="9" t="s">
        <v>16</v>
      </c>
      <c r="E143" s="9" t="s">
        <v>17</v>
      </c>
      <c r="F143" s="9" t="s">
        <v>18</v>
      </c>
    </row>
    <row r="144" spans="1:6" ht="15.75" customHeight="1" x14ac:dyDescent="0.25">
      <c r="A144" s="82"/>
      <c r="B144" s="82"/>
      <c r="C144" s="10" t="s">
        <v>19</v>
      </c>
      <c r="D144" s="11">
        <v>690.69</v>
      </c>
      <c r="E144" s="12"/>
      <c r="F144" s="12"/>
    </row>
    <row r="145" spans="1:6" ht="15.75" customHeight="1" x14ac:dyDescent="0.25">
      <c r="A145" s="9" t="s">
        <v>20</v>
      </c>
      <c r="B145" s="9" t="s">
        <v>21</v>
      </c>
      <c r="C145" s="10" t="s">
        <v>22</v>
      </c>
      <c r="D145" s="11">
        <v>112.45</v>
      </c>
      <c r="E145" s="12"/>
      <c r="F145" s="12"/>
    </row>
    <row r="146" spans="1:6" ht="15.75" customHeight="1" x14ac:dyDescent="0.25">
      <c r="A146" s="81" t="s">
        <v>72</v>
      </c>
      <c r="B146" s="81" t="s">
        <v>24</v>
      </c>
      <c r="C146" s="10" t="s">
        <v>25</v>
      </c>
      <c r="D146" s="11">
        <v>477.75</v>
      </c>
      <c r="E146" s="12"/>
      <c r="F146" s="12"/>
    </row>
    <row r="147" spans="1:6" ht="15.75" customHeight="1" x14ac:dyDescent="0.25">
      <c r="A147" s="82"/>
      <c r="B147" s="82"/>
      <c r="C147" s="10" t="s">
        <v>26</v>
      </c>
      <c r="D147" s="11">
        <v>813.55</v>
      </c>
      <c r="E147" s="12"/>
      <c r="F147" s="12"/>
    </row>
    <row r="148" spans="1:6" ht="15.75" customHeight="1" x14ac:dyDescent="0.25">
      <c r="A148" s="9" t="s">
        <v>27</v>
      </c>
      <c r="B148" s="9" t="s">
        <v>28</v>
      </c>
      <c r="C148" s="10" t="s">
        <v>29</v>
      </c>
      <c r="D148" s="11">
        <v>730.56</v>
      </c>
      <c r="E148" s="12"/>
      <c r="F148" s="12"/>
    </row>
    <row r="149" spans="1:6" ht="15.75" customHeight="1" x14ac:dyDescent="0.25">
      <c r="A149" s="81">
        <v>2020</v>
      </c>
      <c r="B149" s="81" t="s">
        <v>61</v>
      </c>
      <c r="C149" s="10" t="s">
        <v>31</v>
      </c>
      <c r="D149" s="11">
        <v>504.29</v>
      </c>
      <c r="E149" s="12"/>
      <c r="F149" s="12"/>
    </row>
    <row r="150" spans="1:6" ht="15.75" customHeight="1" x14ac:dyDescent="0.25">
      <c r="A150" s="82"/>
      <c r="B150" s="82"/>
      <c r="C150" s="10" t="s">
        <v>32</v>
      </c>
      <c r="D150" s="11">
        <v>563.78</v>
      </c>
      <c r="E150" s="12"/>
      <c r="F150" s="12"/>
    </row>
    <row r="151" spans="1:6" ht="15.75" customHeight="1" x14ac:dyDescent="0.25">
      <c r="A151" s="9" t="s">
        <v>33</v>
      </c>
      <c r="B151" s="9" t="s">
        <v>34</v>
      </c>
      <c r="C151" s="10" t="s">
        <v>35</v>
      </c>
      <c r="D151" s="11">
        <v>470.96</v>
      </c>
      <c r="E151" s="12"/>
      <c r="F151" s="12"/>
    </row>
    <row r="152" spans="1:6" ht="15.75" customHeight="1" x14ac:dyDescent="0.25">
      <c r="A152" s="81">
        <v>3400</v>
      </c>
      <c r="B152" s="81">
        <v>1700</v>
      </c>
      <c r="C152" s="10" t="s">
        <v>36</v>
      </c>
      <c r="D152" s="11">
        <v>463.15</v>
      </c>
      <c r="E152" s="12"/>
      <c r="F152" s="12"/>
    </row>
    <row r="153" spans="1:6" ht="15.75" customHeight="1" x14ac:dyDescent="0.25">
      <c r="A153" s="82"/>
      <c r="B153" s="82"/>
      <c r="C153" s="10" t="s">
        <v>37</v>
      </c>
      <c r="D153" s="11">
        <v>386.08</v>
      </c>
      <c r="E153" s="12"/>
      <c r="F153" s="12"/>
    </row>
    <row r="154" spans="1:6" ht="15.75" customHeight="1" x14ac:dyDescent="0.25">
      <c r="A154" s="83"/>
      <c r="B154" s="83"/>
      <c r="C154" s="10" t="s">
        <v>38</v>
      </c>
      <c r="D154" s="11">
        <v>494.08</v>
      </c>
      <c r="E154" s="12"/>
      <c r="F154" s="12"/>
    </row>
    <row r="155" spans="1:6" ht="15.75" customHeight="1" x14ac:dyDescent="0.25">
      <c r="A155" s="82"/>
      <c r="B155" s="82"/>
      <c r="C155" s="10" t="s">
        <v>39</v>
      </c>
      <c r="D155" s="11">
        <v>358.12</v>
      </c>
      <c r="E155" s="12"/>
      <c r="F155" s="12"/>
    </row>
    <row r="156" spans="1:6" ht="15.75" customHeight="1" x14ac:dyDescent="0.25"/>
    <row r="157" spans="1:6" ht="15.75" customHeight="1" x14ac:dyDescent="0.25">
      <c r="A157" s="84" t="s">
        <v>73</v>
      </c>
      <c r="B157" s="85"/>
      <c r="C157" s="85"/>
      <c r="D157" s="85"/>
      <c r="E157" s="85"/>
      <c r="F157" s="86"/>
    </row>
    <row r="158" spans="1:6" ht="15.75" customHeight="1" x14ac:dyDescent="0.25">
      <c r="A158" s="9" t="s">
        <v>10</v>
      </c>
      <c r="B158" s="9" t="s">
        <v>11</v>
      </c>
      <c r="C158" s="84" t="s">
        <v>12</v>
      </c>
      <c r="D158" s="85"/>
      <c r="E158" s="85"/>
      <c r="F158" s="86"/>
    </row>
    <row r="159" spans="1:6" ht="15.75" customHeight="1" x14ac:dyDescent="0.25">
      <c r="A159" s="81" t="s">
        <v>45</v>
      </c>
      <c r="B159" s="81" t="s">
        <v>74</v>
      </c>
      <c r="C159" s="9" t="s">
        <v>15</v>
      </c>
      <c r="D159" s="9" t="s">
        <v>16</v>
      </c>
      <c r="E159" s="9" t="s">
        <v>17</v>
      </c>
      <c r="F159" s="9" t="s">
        <v>18</v>
      </c>
    </row>
    <row r="160" spans="1:6" ht="15.75" customHeight="1" x14ac:dyDescent="0.25">
      <c r="A160" s="82"/>
      <c r="B160" s="82"/>
      <c r="C160" s="10" t="s">
        <v>19</v>
      </c>
      <c r="D160" s="11">
        <v>260.97000000000003</v>
      </c>
      <c r="E160" s="12"/>
      <c r="F160" s="12"/>
    </row>
    <row r="161" spans="1:6" ht="15.75" customHeight="1" x14ac:dyDescent="0.25">
      <c r="A161" s="9" t="s">
        <v>20</v>
      </c>
      <c r="B161" s="9" t="s">
        <v>21</v>
      </c>
      <c r="C161" s="10" t="s">
        <v>22</v>
      </c>
      <c r="D161" s="11">
        <v>387.47</v>
      </c>
      <c r="E161" s="12"/>
      <c r="F161" s="12"/>
    </row>
    <row r="162" spans="1:6" ht="15.75" customHeight="1" x14ac:dyDescent="0.25">
      <c r="A162" s="81" t="s">
        <v>75</v>
      </c>
      <c r="B162" s="81" t="s">
        <v>24</v>
      </c>
      <c r="C162" s="10" t="s">
        <v>25</v>
      </c>
      <c r="D162" s="11">
        <v>193.15</v>
      </c>
      <c r="E162" s="12"/>
      <c r="F162" s="12"/>
    </row>
    <row r="163" spans="1:6" ht="15.75" customHeight="1" x14ac:dyDescent="0.25">
      <c r="A163" s="82"/>
      <c r="B163" s="82"/>
      <c r="C163" s="10" t="s">
        <v>26</v>
      </c>
      <c r="D163" s="11">
        <v>302.95</v>
      </c>
      <c r="E163" s="12"/>
      <c r="F163" s="12"/>
    </row>
    <row r="164" spans="1:6" ht="15.75" customHeight="1" x14ac:dyDescent="0.25">
      <c r="A164" s="9" t="s">
        <v>27</v>
      </c>
      <c r="B164" s="9" t="s">
        <v>28</v>
      </c>
      <c r="C164" s="10" t="s">
        <v>29</v>
      </c>
      <c r="D164" s="11">
        <v>366.62</v>
      </c>
      <c r="E164" s="12"/>
      <c r="F164" s="12"/>
    </row>
    <row r="165" spans="1:6" ht="15.75" customHeight="1" x14ac:dyDescent="0.25">
      <c r="A165" s="81"/>
      <c r="B165" s="81" t="s">
        <v>76</v>
      </c>
      <c r="C165" s="10" t="s">
        <v>31</v>
      </c>
      <c r="D165" s="11">
        <v>0</v>
      </c>
      <c r="E165" s="12"/>
      <c r="F165" s="12"/>
    </row>
    <row r="166" spans="1:6" ht="15.75" customHeight="1" x14ac:dyDescent="0.25">
      <c r="A166" s="82"/>
      <c r="B166" s="82"/>
      <c r="C166" s="10" t="s">
        <v>32</v>
      </c>
      <c r="D166" s="11">
        <v>129.97</v>
      </c>
      <c r="E166" s="12"/>
      <c r="F166" s="12"/>
    </row>
    <row r="167" spans="1:6" ht="15.75" customHeight="1" x14ac:dyDescent="0.25">
      <c r="A167" s="9" t="s">
        <v>33</v>
      </c>
      <c r="B167" s="9" t="s">
        <v>34</v>
      </c>
      <c r="C167" s="10" t="s">
        <v>35</v>
      </c>
      <c r="D167" s="11">
        <v>258.47000000000003</v>
      </c>
      <c r="E167" s="12"/>
      <c r="F167" s="12"/>
    </row>
    <row r="168" spans="1:6" ht="15.75" customHeight="1" x14ac:dyDescent="0.25">
      <c r="A168" s="81">
        <v>3200</v>
      </c>
      <c r="B168" s="81">
        <v>1600</v>
      </c>
      <c r="C168" s="10" t="s">
        <v>36</v>
      </c>
      <c r="D168" s="11">
        <v>27.92</v>
      </c>
      <c r="E168" s="12"/>
      <c r="F168" s="12"/>
    </row>
    <row r="169" spans="1:6" ht="15.75" customHeight="1" x14ac:dyDescent="0.25">
      <c r="A169" s="82"/>
      <c r="B169" s="82"/>
      <c r="C169" s="10" t="s">
        <v>37</v>
      </c>
      <c r="D169" s="11">
        <v>58.07</v>
      </c>
      <c r="E169" s="12"/>
      <c r="F169" s="12"/>
    </row>
    <row r="170" spans="1:6" ht="15.75" customHeight="1" x14ac:dyDescent="0.25">
      <c r="A170" s="83"/>
      <c r="B170" s="83"/>
      <c r="C170" s="10" t="s">
        <v>38</v>
      </c>
      <c r="D170" s="11">
        <v>43.65</v>
      </c>
      <c r="E170" s="12"/>
      <c r="F170" s="12"/>
    </row>
    <row r="171" spans="1:6" ht="15.75" customHeight="1" x14ac:dyDescent="0.25">
      <c r="A171" s="82"/>
      <c r="B171" s="82"/>
      <c r="C171" s="10" t="s">
        <v>39</v>
      </c>
      <c r="D171" s="11">
        <v>0</v>
      </c>
      <c r="E171" s="12"/>
      <c r="F171" s="12"/>
    </row>
    <row r="172" spans="1:6" ht="15.75" customHeight="1" x14ac:dyDescent="0.25"/>
    <row r="173" spans="1:6" ht="15.75" customHeight="1" x14ac:dyDescent="0.25"/>
    <row r="174" spans="1:6" ht="15.75" customHeight="1" x14ac:dyDescent="0.25"/>
    <row r="175" spans="1:6" ht="15.75" customHeight="1" x14ac:dyDescent="0.25"/>
    <row r="176" spans="1: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</sheetData>
  <mergeCells count="123">
    <mergeCell ref="B159:B160"/>
    <mergeCell ref="B162:B163"/>
    <mergeCell ref="B165:B166"/>
    <mergeCell ref="B168:B169"/>
    <mergeCell ref="B170:B171"/>
    <mergeCell ref="A28:A29"/>
    <mergeCell ref="B28:B29"/>
    <mergeCell ref="A31:A32"/>
    <mergeCell ref="B31:B32"/>
    <mergeCell ref="B34:B35"/>
    <mergeCell ref="B37:B38"/>
    <mergeCell ref="B39:B40"/>
    <mergeCell ref="B44:B45"/>
    <mergeCell ref="B47:B48"/>
    <mergeCell ref="B146:B147"/>
    <mergeCell ref="B149:B150"/>
    <mergeCell ref="B152:B153"/>
    <mergeCell ref="B154:B155"/>
    <mergeCell ref="A157:F157"/>
    <mergeCell ref="C158:F158"/>
    <mergeCell ref="A3:F3"/>
    <mergeCell ref="A4:F4"/>
    <mergeCell ref="A5:F5"/>
    <mergeCell ref="A10:F10"/>
    <mergeCell ref="C11:F11"/>
    <mergeCell ref="A12:A13"/>
    <mergeCell ref="B12:B13"/>
    <mergeCell ref="B23:B24"/>
    <mergeCell ref="A26:F26"/>
    <mergeCell ref="C27:F27"/>
    <mergeCell ref="A15:A16"/>
    <mergeCell ref="B15:B16"/>
    <mergeCell ref="A18:A19"/>
    <mergeCell ref="B18:B19"/>
    <mergeCell ref="A21:A22"/>
    <mergeCell ref="B21:B22"/>
    <mergeCell ref="A23:A24"/>
    <mergeCell ref="A37:A38"/>
    <mergeCell ref="C123:F123"/>
    <mergeCell ref="B124:B125"/>
    <mergeCell ref="B127:B128"/>
    <mergeCell ref="B130:B131"/>
    <mergeCell ref="B133:B134"/>
    <mergeCell ref="B135:B136"/>
    <mergeCell ref="A141:F141"/>
    <mergeCell ref="C142:F142"/>
    <mergeCell ref="B143:B144"/>
    <mergeCell ref="B103:B104"/>
    <mergeCell ref="A106:F106"/>
    <mergeCell ref="C107:F107"/>
    <mergeCell ref="B108:B109"/>
    <mergeCell ref="B111:B112"/>
    <mergeCell ref="B114:B115"/>
    <mergeCell ref="B117:B118"/>
    <mergeCell ref="B119:B120"/>
    <mergeCell ref="A122:F122"/>
    <mergeCell ref="B82:B83"/>
    <mergeCell ref="B85:B86"/>
    <mergeCell ref="B87:B88"/>
    <mergeCell ref="A90:F90"/>
    <mergeCell ref="C91:F91"/>
    <mergeCell ref="B92:B93"/>
    <mergeCell ref="B95:B96"/>
    <mergeCell ref="B98:B99"/>
    <mergeCell ref="B101:B102"/>
    <mergeCell ref="B60:B61"/>
    <mergeCell ref="B63:B64"/>
    <mergeCell ref="B66:B67"/>
    <mergeCell ref="B69:B70"/>
    <mergeCell ref="B71:B72"/>
    <mergeCell ref="A74:F74"/>
    <mergeCell ref="C75:F75"/>
    <mergeCell ref="B76:B77"/>
    <mergeCell ref="B79:B80"/>
    <mergeCell ref="A127:A128"/>
    <mergeCell ref="A154:A155"/>
    <mergeCell ref="A159:A160"/>
    <mergeCell ref="A162:A163"/>
    <mergeCell ref="A165:A166"/>
    <mergeCell ref="A168:A169"/>
    <mergeCell ref="A170:A171"/>
    <mergeCell ref="A130:A131"/>
    <mergeCell ref="A133:A134"/>
    <mergeCell ref="A135:A136"/>
    <mergeCell ref="A143:A144"/>
    <mergeCell ref="A146:A147"/>
    <mergeCell ref="A149:A150"/>
    <mergeCell ref="A152:A153"/>
    <mergeCell ref="A98:A99"/>
    <mergeCell ref="A101:A102"/>
    <mergeCell ref="A103:A104"/>
    <mergeCell ref="A108:A109"/>
    <mergeCell ref="A111:A112"/>
    <mergeCell ref="A114:A115"/>
    <mergeCell ref="A117:A118"/>
    <mergeCell ref="A119:A120"/>
    <mergeCell ref="A124:A125"/>
    <mergeCell ref="A69:A70"/>
    <mergeCell ref="A71:A72"/>
    <mergeCell ref="A76:A77"/>
    <mergeCell ref="A79:A80"/>
    <mergeCell ref="A82:A83"/>
    <mergeCell ref="A85:A86"/>
    <mergeCell ref="A87:A88"/>
    <mergeCell ref="A92:A93"/>
    <mergeCell ref="A95:A96"/>
    <mergeCell ref="A34:A35"/>
    <mergeCell ref="A44:A45"/>
    <mergeCell ref="A47:A48"/>
    <mergeCell ref="A50:A51"/>
    <mergeCell ref="A53:A54"/>
    <mergeCell ref="A55:A56"/>
    <mergeCell ref="A60:A61"/>
    <mergeCell ref="A63:A64"/>
    <mergeCell ref="A66:A67"/>
    <mergeCell ref="A39:A40"/>
    <mergeCell ref="A42:F42"/>
    <mergeCell ref="C43:F43"/>
    <mergeCell ref="B50:B51"/>
    <mergeCell ref="B53:B54"/>
    <mergeCell ref="B55:B56"/>
    <mergeCell ref="A58:F58"/>
    <mergeCell ref="C59:F59"/>
  </mergeCells>
  <pageMargins left="0.51181102362204722" right="0.51181102362204722" top="0.51181102362204722" bottom="0.51181102362204722" header="0" footer="0"/>
  <pageSetup paperSize="14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opLeftCell="A6" workbookViewId="0"/>
  </sheetViews>
  <sheetFormatPr defaultColWidth="14.42578125" defaultRowHeight="15" customHeight="1" x14ac:dyDescent="0.25"/>
  <cols>
    <col min="1" max="1" width="7.42578125" customWidth="1"/>
    <col min="2" max="2" width="20.42578125" customWidth="1"/>
    <col min="3" max="3" width="22.7109375" customWidth="1"/>
    <col min="4" max="4" width="17.5703125" customWidth="1"/>
    <col min="5" max="5" width="19" customWidth="1"/>
    <col min="6" max="6" width="17.7109375" customWidth="1"/>
    <col min="7" max="7" width="13.28515625" customWidth="1"/>
    <col min="9" max="9" width="25.7109375" customWidth="1"/>
    <col min="10" max="10" width="26.28515625" customWidth="1"/>
    <col min="11" max="14" width="8" customWidth="1"/>
  </cols>
  <sheetData>
    <row r="1" spans="1:26" x14ac:dyDescent="0.25">
      <c r="A1" s="1" t="s">
        <v>77</v>
      </c>
      <c r="I1" s="1" t="s">
        <v>78</v>
      </c>
      <c r="M1" s="2"/>
      <c r="N1" s="2"/>
    </row>
    <row r="2" spans="1:26" x14ac:dyDescent="0.25">
      <c r="I2" s="1" t="s">
        <v>79</v>
      </c>
      <c r="L2" s="2"/>
      <c r="M2" s="2"/>
      <c r="N2" s="2"/>
    </row>
    <row r="3" spans="1:26" ht="18" customHeight="1" x14ac:dyDescent="0.25">
      <c r="A3" s="87" t="s">
        <v>2</v>
      </c>
      <c r="B3" s="88"/>
      <c r="C3" s="88"/>
      <c r="D3" s="88"/>
      <c r="E3" s="88"/>
      <c r="F3" s="88"/>
      <c r="G3" s="88"/>
      <c r="H3" s="88"/>
      <c r="I3" s="88"/>
      <c r="K3" s="3"/>
      <c r="L3" s="3"/>
    </row>
    <row r="4" spans="1:26" ht="15.75" customHeight="1" x14ac:dyDescent="0.25">
      <c r="A4" s="89" t="s">
        <v>3</v>
      </c>
      <c r="B4" s="88"/>
      <c r="C4" s="88"/>
      <c r="D4" s="88"/>
      <c r="E4" s="88"/>
      <c r="F4" s="88"/>
      <c r="G4" s="88"/>
      <c r="H4" s="88"/>
      <c r="I4" s="88"/>
      <c r="K4" s="4"/>
      <c r="L4" s="4"/>
    </row>
    <row r="5" spans="1:26" x14ac:dyDescent="0.25">
      <c r="A5" s="90" t="s">
        <v>4</v>
      </c>
      <c r="B5" s="88"/>
      <c r="C5" s="88"/>
      <c r="D5" s="88"/>
      <c r="E5" s="88"/>
      <c r="F5" s="88"/>
      <c r="G5" s="88"/>
      <c r="H5" s="88"/>
      <c r="I5" s="88"/>
      <c r="K5" s="6"/>
      <c r="L5" s="6"/>
    </row>
    <row r="6" spans="1:26" x14ac:dyDescent="0.25">
      <c r="I6" s="7"/>
    </row>
    <row r="7" spans="1:26" x14ac:dyDescent="0.25">
      <c r="A7" s="1" t="s">
        <v>80</v>
      </c>
      <c r="H7" s="1" t="s">
        <v>6</v>
      </c>
    </row>
    <row r="8" spans="1:26" x14ac:dyDescent="0.25">
      <c r="A8" s="1" t="s">
        <v>81</v>
      </c>
      <c r="H8" s="1" t="s">
        <v>8</v>
      </c>
    </row>
    <row r="9" spans="1:26" ht="15.75" customHeight="1" x14ac:dyDescent="0.25"/>
    <row r="10" spans="1:26" ht="29.25" customHeight="1" x14ac:dyDescent="0.25">
      <c r="A10" s="9" t="s">
        <v>82</v>
      </c>
      <c r="B10" s="9" t="s">
        <v>10</v>
      </c>
      <c r="C10" s="9" t="s">
        <v>11</v>
      </c>
      <c r="D10" s="9" t="s">
        <v>20</v>
      </c>
      <c r="E10" s="9" t="s">
        <v>83</v>
      </c>
      <c r="F10" s="9" t="s">
        <v>28</v>
      </c>
      <c r="G10" s="9" t="s">
        <v>27</v>
      </c>
      <c r="H10" s="9" t="s">
        <v>21</v>
      </c>
      <c r="I10" s="18" t="s">
        <v>84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25">
      <c r="A11" s="10">
        <v>1</v>
      </c>
      <c r="B11" s="12" t="s">
        <v>13</v>
      </c>
      <c r="C11" s="19" t="s">
        <v>14</v>
      </c>
      <c r="D11" s="20" t="s">
        <v>23</v>
      </c>
      <c r="E11" s="20" t="s">
        <v>85</v>
      </c>
      <c r="F11" s="20" t="s">
        <v>30</v>
      </c>
      <c r="G11" s="20">
        <v>2013</v>
      </c>
      <c r="H11" s="20" t="s">
        <v>24</v>
      </c>
      <c r="I11" s="21">
        <v>380981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20">
        <v>2</v>
      </c>
      <c r="B12" s="12" t="s">
        <v>41</v>
      </c>
      <c r="C12" s="22" t="s">
        <v>42</v>
      </c>
      <c r="D12" s="20" t="s">
        <v>43</v>
      </c>
      <c r="E12" s="20" t="s">
        <v>86</v>
      </c>
      <c r="F12" s="20" t="s">
        <v>30</v>
      </c>
      <c r="G12" s="20">
        <v>2004</v>
      </c>
      <c r="H12" s="20" t="s">
        <v>24</v>
      </c>
      <c r="I12" s="21" t="s">
        <v>87</v>
      </c>
    </row>
    <row r="13" spans="1:26" ht="15.75" customHeight="1" x14ac:dyDescent="0.25">
      <c r="A13" s="20">
        <v>3</v>
      </c>
      <c r="B13" s="12" t="s">
        <v>45</v>
      </c>
      <c r="C13" s="22" t="s">
        <v>46</v>
      </c>
      <c r="D13" s="20" t="s">
        <v>47</v>
      </c>
      <c r="E13" s="20" t="s">
        <v>86</v>
      </c>
      <c r="F13" s="20" t="s">
        <v>48</v>
      </c>
      <c r="G13" s="20">
        <v>1994</v>
      </c>
      <c r="H13" s="20" t="s">
        <v>24</v>
      </c>
      <c r="I13" s="21" t="s">
        <v>87</v>
      </c>
    </row>
    <row r="14" spans="1:26" ht="15.75" customHeight="1" x14ac:dyDescent="0.25">
      <c r="A14" s="20">
        <v>4</v>
      </c>
      <c r="B14" s="12" t="s">
        <v>50</v>
      </c>
      <c r="C14" s="22" t="s">
        <v>51</v>
      </c>
      <c r="D14" s="20" t="s">
        <v>52</v>
      </c>
      <c r="E14" s="20" t="s">
        <v>86</v>
      </c>
      <c r="F14" s="20" t="s">
        <v>53</v>
      </c>
      <c r="G14" s="20">
        <v>2024</v>
      </c>
      <c r="H14" s="20" t="s">
        <v>24</v>
      </c>
      <c r="I14" s="21">
        <v>4880</v>
      </c>
    </row>
    <row r="15" spans="1:26" ht="15.75" customHeight="1" x14ac:dyDescent="0.25">
      <c r="A15" s="20">
        <v>5</v>
      </c>
      <c r="B15" s="12" t="s">
        <v>50</v>
      </c>
      <c r="C15" s="22" t="s">
        <v>55</v>
      </c>
      <c r="D15" s="20" t="s">
        <v>56</v>
      </c>
      <c r="E15" s="20" t="s">
        <v>86</v>
      </c>
      <c r="F15" s="20" t="s">
        <v>53</v>
      </c>
      <c r="G15" s="20">
        <v>2024</v>
      </c>
      <c r="H15" s="20" t="s">
        <v>24</v>
      </c>
      <c r="I15" s="21">
        <v>4378</v>
      </c>
    </row>
    <row r="16" spans="1:26" ht="15.75" customHeight="1" x14ac:dyDescent="0.25">
      <c r="A16" s="20">
        <v>6</v>
      </c>
      <c r="B16" s="12" t="s">
        <v>58</v>
      </c>
      <c r="C16" s="22" t="s">
        <v>59</v>
      </c>
      <c r="D16" s="20" t="s">
        <v>60</v>
      </c>
      <c r="E16" s="20" t="s">
        <v>86</v>
      </c>
      <c r="F16" s="20" t="s">
        <v>61</v>
      </c>
      <c r="G16" s="20">
        <v>2002</v>
      </c>
      <c r="H16" s="20" t="s">
        <v>24</v>
      </c>
      <c r="I16" s="21" t="s">
        <v>87</v>
      </c>
    </row>
    <row r="17" spans="1:9" ht="15.75" customHeight="1" x14ac:dyDescent="0.25">
      <c r="A17" s="20">
        <v>7</v>
      </c>
      <c r="B17" s="12" t="s">
        <v>41</v>
      </c>
      <c r="C17" s="22" t="s">
        <v>63</v>
      </c>
      <c r="D17" s="20" t="s">
        <v>64</v>
      </c>
      <c r="E17" s="20" t="s">
        <v>86</v>
      </c>
      <c r="F17" s="20" t="s">
        <v>63</v>
      </c>
      <c r="G17" s="20">
        <v>1998</v>
      </c>
      <c r="H17" s="20" t="s">
        <v>24</v>
      </c>
      <c r="I17" s="21" t="s">
        <v>87</v>
      </c>
    </row>
    <row r="18" spans="1:9" ht="15.75" customHeight="1" x14ac:dyDescent="0.25">
      <c r="A18" s="20">
        <v>8</v>
      </c>
      <c r="B18" s="12" t="s">
        <v>66</v>
      </c>
      <c r="C18" s="22" t="s">
        <v>67</v>
      </c>
      <c r="D18" s="20" t="s">
        <v>68</v>
      </c>
      <c r="E18" s="20" t="s">
        <v>86</v>
      </c>
      <c r="F18" s="20" t="s">
        <v>69</v>
      </c>
      <c r="G18" s="20">
        <v>2015</v>
      </c>
      <c r="H18" s="20" t="s">
        <v>24</v>
      </c>
      <c r="I18" s="21" t="s">
        <v>87</v>
      </c>
    </row>
    <row r="19" spans="1:9" ht="15.75" customHeight="1" x14ac:dyDescent="0.25">
      <c r="A19" s="20">
        <v>9</v>
      </c>
      <c r="B19" s="12" t="s">
        <v>58</v>
      </c>
      <c r="C19" s="22" t="s">
        <v>71</v>
      </c>
      <c r="D19" s="20" t="s">
        <v>72</v>
      </c>
      <c r="E19" s="20" t="s">
        <v>86</v>
      </c>
      <c r="F19" s="20" t="s">
        <v>61</v>
      </c>
      <c r="G19" s="10">
        <v>2020</v>
      </c>
      <c r="H19" s="20" t="s">
        <v>24</v>
      </c>
      <c r="I19" s="21">
        <v>229959</v>
      </c>
    </row>
    <row r="20" spans="1:9" ht="15.75" customHeight="1" x14ac:dyDescent="0.25">
      <c r="A20" s="20">
        <v>10</v>
      </c>
      <c r="B20" s="12" t="s">
        <v>45</v>
      </c>
      <c r="C20" s="22" t="s">
        <v>74</v>
      </c>
      <c r="D20" s="20" t="s">
        <v>75</v>
      </c>
      <c r="E20" s="20" t="s">
        <v>86</v>
      </c>
      <c r="F20" s="23" t="s">
        <v>76</v>
      </c>
      <c r="G20" s="10" t="s">
        <v>87</v>
      </c>
      <c r="H20" s="20" t="s">
        <v>24</v>
      </c>
      <c r="I20" s="21" t="s">
        <v>87</v>
      </c>
    </row>
    <row r="21" spans="1:9" ht="15.75" customHeight="1" x14ac:dyDescent="0.25"/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">
    <mergeCell ref="A3:I3"/>
    <mergeCell ref="A4:I4"/>
    <mergeCell ref="A5:I5"/>
  </mergeCells>
  <pageMargins left="0.51181102362204722" right="0.51181102362204722" top="0.74803149606299213" bottom="0.51181102362204722" header="0" footer="0"/>
  <pageSetup paperSize="14" scale="97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67"/>
  <sheetViews>
    <sheetView topLeftCell="A144" workbookViewId="0"/>
  </sheetViews>
  <sheetFormatPr defaultColWidth="14.42578125" defaultRowHeight="15" customHeight="1" x14ac:dyDescent="0.25"/>
  <cols>
    <col min="1" max="1" width="5.42578125" customWidth="1"/>
    <col min="2" max="2" width="37.140625" customWidth="1"/>
    <col min="3" max="3" width="26" customWidth="1"/>
    <col min="4" max="4" width="14" customWidth="1"/>
    <col min="5" max="5" width="17.7109375" customWidth="1"/>
    <col min="6" max="6" width="13.28515625" customWidth="1"/>
    <col min="7" max="7" width="17.5703125" customWidth="1"/>
    <col min="8" max="8" width="17.7109375" customWidth="1"/>
    <col min="9" max="9" width="12.42578125" customWidth="1"/>
    <col min="10" max="11" width="8" customWidth="1"/>
  </cols>
  <sheetData>
    <row r="1" spans="1:26" x14ac:dyDescent="0.25">
      <c r="H1" s="1" t="s">
        <v>78</v>
      </c>
      <c r="J1" s="2"/>
      <c r="K1" s="2"/>
    </row>
    <row r="2" spans="1:26" x14ac:dyDescent="0.25">
      <c r="H2" s="1" t="s">
        <v>88</v>
      </c>
      <c r="I2" s="2"/>
      <c r="J2" s="2"/>
      <c r="K2" s="2"/>
    </row>
    <row r="3" spans="1:26" ht="18" customHeight="1" x14ac:dyDescent="0.25">
      <c r="A3" s="87" t="s">
        <v>2</v>
      </c>
      <c r="B3" s="88"/>
      <c r="C3" s="88"/>
      <c r="D3" s="88"/>
      <c r="E3" s="88"/>
      <c r="F3" s="88"/>
      <c r="G3" s="88"/>
      <c r="H3" s="88"/>
      <c r="I3" s="88"/>
    </row>
    <row r="4" spans="1:26" ht="15.75" customHeight="1" x14ac:dyDescent="0.25">
      <c r="A4" s="89" t="s">
        <v>3</v>
      </c>
      <c r="B4" s="88"/>
      <c r="C4" s="88"/>
      <c r="D4" s="88"/>
      <c r="E4" s="88"/>
      <c r="F4" s="88"/>
      <c r="G4" s="88"/>
      <c r="H4" s="88"/>
      <c r="I4" s="88"/>
    </row>
    <row r="5" spans="1:26" x14ac:dyDescent="0.25">
      <c r="A5" s="90" t="s">
        <v>4</v>
      </c>
      <c r="B5" s="88"/>
      <c r="C5" s="88"/>
      <c r="D5" s="88"/>
      <c r="E5" s="88"/>
      <c r="F5" s="88"/>
      <c r="G5" s="88"/>
      <c r="H5" s="88"/>
      <c r="I5" s="88"/>
    </row>
    <row r="6" spans="1:26" x14ac:dyDescent="0.25">
      <c r="F6" s="7"/>
    </row>
    <row r="7" spans="1:26" x14ac:dyDescent="0.25">
      <c r="A7" s="1" t="s">
        <v>89</v>
      </c>
      <c r="G7" s="1" t="s">
        <v>6</v>
      </c>
    </row>
    <row r="8" spans="1:26" x14ac:dyDescent="0.25">
      <c r="A8" s="1" t="s">
        <v>90</v>
      </c>
      <c r="G8" s="1" t="s">
        <v>8</v>
      </c>
    </row>
    <row r="9" spans="1:26" ht="15.75" customHeight="1" x14ac:dyDescent="0.25">
      <c r="A9" s="24"/>
      <c r="B9" s="24"/>
      <c r="C9" s="24"/>
      <c r="D9" s="24"/>
      <c r="E9" s="24"/>
      <c r="F9" s="24"/>
      <c r="G9" s="24"/>
      <c r="H9" s="24"/>
      <c r="I9" s="24"/>
    </row>
    <row r="10" spans="1:26" ht="15.75" customHeight="1" x14ac:dyDescent="0.25">
      <c r="A10" s="25">
        <v>1</v>
      </c>
      <c r="B10" s="92" t="s">
        <v>91</v>
      </c>
      <c r="C10" s="86"/>
      <c r="D10" s="26"/>
      <c r="E10" s="92" t="s">
        <v>92</v>
      </c>
      <c r="F10" s="85"/>
      <c r="G10" s="85"/>
      <c r="H10" s="85"/>
      <c r="I10" s="8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5.5" customHeight="1" x14ac:dyDescent="0.25">
      <c r="A11" s="27"/>
      <c r="B11" s="28" t="s">
        <v>20</v>
      </c>
      <c r="C11" s="29" t="s">
        <v>23</v>
      </c>
      <c r="D11" s="27"/>
      <c r="E11" s="28" t="s">
        <v>15</v>
      </c>
      <c r="F11" s="28" t="s">
        <v>16</v>
      </c>
      <c r="G11" s="28" t="s">
        <v>93</v>
      </c>
      <c r="H11" s="28" t="s">
        <v>17</v>
      </c>
      <c r="I11" s="28" t="s">
        <v>18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.75" customHeight="1" x14ac:dyDescent="0.25">
      <c r="A12" s="25"/>
      <c r="B12" s="31" t="s">
        <v>94</v>
      </c>
      <c r="C12" s="29" t="s">
        <v>95</v>
      </c>
      <c r="D12" s="25"/>
      <c r="E12" s="11" t="s">
        <v>19</v>
      </c>
      <c r="F12" s="11">
        <v>0</v>
      </c>
      <c r="G12" s="32"/>
      <c r="H12" s="32"/>
      <c r="I12" s="11" t="e">
        <f t="shared" ref="I12:I23" si="0">(H12-G12)/F12</f>
        <v>#DIV/0!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25">
      <c r="A13" s="25"/>
      <c r="B13" s="31" t="s">
        <v>27</v>
      </c>
      <c r="C13" s="29">
        <v>2013</v>
      </c>
      <c r="D13" s="25"/>
      <c r="E13" s="11" t="s">
        <v>22</v>
      </c>
      <c r="F13" s="11">
        <v>110.69</v>
      </c>
      <c r="G13" s="32"/>
      <c r="H13" s="32"/>
      <c r="I13" s="32">
        <f t="shared" si="0"/>
        <v>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25">
      <c r="A14" s="25"/>
      <c r="B14" s="31" t="s">
        <v>21</v>
      </c>
      <c r="C14" s="29" t="s">
        <v>96</v>
      </c>
      <c r="D14" s="25"/>
      <c r="E14" s="11" t="s">
        <v>25</v>
      </c>
      <c r="F14" s="11">
        <v>147.19999999999999</v>
      </c>
      <c r="G14" s="11"/>
      <c r="H14" s="11"/>
      <c r="I14" s="32">
        <f t="shared" si="0"/>
        <v>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25">
      <c r="A15" s="25"/>
      <c r="B15" s="31" t="s">
        <v>97</v>
      </c>
      <c r="C15" s="33">
        <v>1546000</v>
      </c>
      <c r="D15" s="25"/>
      <c r="E15" s="11" t="s">
        <v>26</v>
      </c>
      <c r="F15" s="11">
        <v>159.69999999999999</v>
      </c>
      <c r="G15" s="11"/>
      <c r="H15" s="11"/>
      <c r="I15" s="32">
        <f t="shared" si="0"/>
        <v>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25">
      <c r="A16" s="25"/>
      <c r="B16" s="31" t="s">
        <v>98</v>
      </c>
      <c r="C16" s="29">
        <v>2014</v>
      </c>
      <c r="D16" s="25"/>
      <c r="E16" s="11" t="s">
        <v>29</v>
      </c>
      <c r="F16" s="11">
        <v>113.96</v>
      </c>
      <c r="G16" s="11"/>
      <c r="H16" s="11"/>
      <c r="I16" s="32">
        <f t="shared" si="0"/>
        <v>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5">
      <c r="A17" s="25"/>
      <c r="B17" s="31" t="s">
        <v>99</v>
      </c>
      <c r="C17" s="29" t="s">
        <v>100</v>
      </c>
      <c r="D17" s="25"/>
      <c r="E17" s="11" t="s">
        <v>31</v>
      </c>
      <c r="F17" s="11">
        <v>120.76</v>
      </c>
      <c r="G17" s="11"/>
      <c r="H17" s="11"/>
      <c r="I17" s="32">
        <f t="shared" si="0"/>
        <v>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5">
      <c r="A18" s="25"/>
      <c r="B18" s="31" t="s">
        <v>101</v>
      </c>
      <c r="C18" s="34" t="s">
        <v>102</v>
      </c>
      <c r="D18" s="25"/>
      <c r="E18" s="11" t="s">
        <v>32</v>
      </c>
      <c r="F18" s="11">
        <v>54.41</v>
      </c>
      <c r="G18" s="11"/>
      <c r="H18" s="11"/>
      <c r="I18" s="32">
        <f t="shared" si="0"/>
        <v>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5">
      <c r="A19" s="25"/>
      <c r="B19" s="31" t="s">
        <v>103</v>
      </c>
      <c r="C19" s="34" t="s">
        <v>104</v>
      </c>
      <c r="D19" s="25"/>
      <c r="E19" s="11" t="s">
        <v>35</v>
      </c>
      <c r="F19" s="11">
        <v>105.92</v>
      </c>
      <c r="G19" s="11"/>
      <c r="H19" s="11"/>
      <c r="I19" s="32">
        <f t="shared" si="0"/>
        <v>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25">
      <c r="A20" s="25"/>
      <c r="B20" s="31" t="s">
        <v>105</v>
      </c>
      <c r="C20" s="34" t="s">
        <v>106</v>
      </c>
      <c r="D20" s="25"/>
      <c r="E20" s="11" t="s">
        <v>36</v>
      </c>
      <c r="F20" s="11">
        <v>73.61</v>
      </c>
      <c r="G20" s="11"/>
      <c r="H20" s="11"/>
      <c r="I20" s="32">
        <f t="shared" si="0"/>
        <v>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35"/>
      <c r="B21" s="31" t="s">
        <v>33</v>
      </c>
      <c r="C21" s="34">
        <v>2385</v>
      </c>
      <c r="D21" s="24"/>
      <c r="E21" s="11" t="s">
        <v>37</v>
      </c>
      <c r="F21" s="11">
        <v>0</v>
      </c>
      <c r="G21" s="11"/>
      <c r="H21" s="11"/>
      <c r="I21" s="32" t="e">
        <f t="shared" si="0"/>
        <v>#DIV/0!</v>
      </c>
    </row>
    <row r="22" spans="1:26" ht="15.75" customHeight="1" x14ac:dyDescent="0.25">
      <c r="A22" s="35"/>
      <c r="B22" s="31" t="s">
        <v>34</v>
      </c>
      <c r="C22" s="34">
        <v>1160</v>
      </c>
      <c r="D22" s="24"/>
      <c r="E22" s="11" t="s">
        <v>38</v>
      </c>
      <c r="F22" s="11">
        <v>103.19</v>
      </c>
      <c r="G22" s="11"/>
      <c r="H22" s="11"/>
      <c r="I22" s="32">
        <f t="shared" si="0"/>
        <v>0</v>
      </c>
    </row>
    <row r="23" spans="1:26" ht="15.75" customHeight="1" x14ac:dyDescent="0.25">
      <c r="A23" s="35"/>
      <c r="B23" s="31" t="s">
        <v>107</v>
      </c>
      <c r="C23" s="36" t="s">
        <v>108</v>
      </c>
      <c r="D23" s="24"/>
      <c r="E23" s="11" t="s">
        <v>39</v>
      </c>
      <c r="F23" s="11">
        <v>203.85</v>
      </c>
      <c r="G23" s="11"/>
      <c r="H23" s="11"/>
      <c r="I23" s="32">
        <f t="shared" si="0"/>
        <v>0</v>
      </c>
    </row>
    <row r="24" spans="1:26" ht="15.75" customHeight="1" x14ac:dyDescent="0.25">
      <c r="A24" s="35"/>
      <c r="B24" s="31" t="s">
        <v>109</v>
      </c>
      <c r="C24" s="37">
        <v>380981</v>
      </c>
      <c r="D24" s="24"/>
      <c r="E24" s="24"/>
      <c r="F24" s="24"/>
      <c r="G24" s="24"/>
      <c r="H24" s="24"/>
      <c r="I24" s="24"/>
    </row>
    <row r="25" spans="1:26" ht="15.75" customHeight="1" x14ac:dyDescent="0.25">
      <c r="A25" s="35"/>
      <c r="B25" s="31" t="s">
        <v>110</v>
      </c>
      <c r="C25" s="38" t="s">
        <v>111</v>
      </c>
      <c r="D25" s="24"/>
      <c r="E25" s="24"/>
      <c r="F25" s="24"/>
      <c r="G25" s="24"/>
      <c r="H25" s="24"/>
      <c r="I25" s="24"/>
    </row>
    <row r="26" spans="1:26" ht="15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</row>
    <row r="27" spans="1:26" ht="15.75" customHeight="1" x14ac:dyDescent="0.25">
      <c r="A27" s="25">
        <v>2</v>
      </c>
      <c r="B27" s="92" t="s">
        <v>91</v>
      </c>
      <c r="C27" s="86"/>
      <c r="D27" s="26"/>
      <c r="E27" s="92" t="s">
        <v>92</v>
      </c>
      <c r="F27" s="85"/>
      <c r="G27" s="85"/>
      <c r="H27" s="85"/>
      <c r="I27" s="8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5.5" customHeight="1" x14ac:dyDescent="0.25">
      <c r="A28" s="27"/>
      <c r="B28" s="28" t="s">
        <v>20</v>
      </c>
      <c r="C28" s="29" t="s">
        <v>43</v>
      </c>
      <c r="D28" s="27"/>
      <c r="E28" s="28" t="s">
        <v>15</v>
      </c>
      <c r="F28" s="28" t="s">
        <v>16</v>
      </c>
      <c r="G28" s="28" t="s">
        <v>93</v>
      </c>
      <c r="H28" s="28" t="s">
        <v>17</v>
      </c>
      <c r="I28" s="28" t="s">
        <v>18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customHeight="1" x14ac:dyDescent="0.25">
      <c r="A29" s="25"/>
      <c r="B29" s="31" t="s">
        <v>94</v>
      </c>
      <c r="C29" s="29" t="s">
        <v>112</v>
      </c>
      <c r="D29" s="25"/>
      <c r="E29" s="11" t="s">
        <v>19</v>
      </c>
      <c r="F29" s="11">
        <v>172.07</v>
      </c>
      <c r="G29" s="32"/>
      <c r="H29" s="32"/>
      <c r="I29" s="11">
        <f t="shared" ref="I29:I40" si="1">(H29-G29)/F29</f>
        <v>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25"/>
      <c r="B30" s="31" t="s">
        <v>27</v>
      </c>
      <c r="C30" s="29">
        <v>2004</v>
      </c>
      <c r="D30" s="25"/>
      <c r="E30" s="11" t="s">
        <v>22</v>
      </c>
      <c r="F30" s="11">
        <v>188.53</v>
      </c>
      <c r="G30" s="32"/>
      <c r="H30" s="32"/>
      <c r="I30" s="32">
        <f t="shared" si="1"/>
        <v>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25"/>
      <c r="B31" s="31" t="s">
        <v>21</v>
      </c>
      <c r="C31" s="29" t="s">
        <v>96</v>
      </c>
      <c r="D31" s="25"/>
      <c r="E31" s="11" t="s">
        <v>25</v>
      </c>
      <c r="F31" s="11">
        <v>173.08</v>
      </c>
      <c r="G31" s="11"/>
      <c r="H31" s="11"/>
      <c r="I31" s="32">
        <f t="shared" si="1"/>
        <v>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25"/>
      <c r="B32" s="31" t="s">
        <v>97</v>
      </c>
      <c r="C32" s="33">
        <v>130696.06</v>
      </c>
      <c r="D32" s="25"/>
      <c r="E32" s="11" t="s">
        <v>26</v>
      </c>
      <c r="F32" s="11">
        <v>238.84</v>
      </c>
      <c r="G32" s="11"/>
      <c r="H32" s="11"/>
      <c r="I32" s="32">
        <f t="shared" si="1"/>
        <v>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25"/>
      <c r="B33" s="31" t="s">
        <v>98</v>
      </c>
      <c r="C33" s="29">
        <v>2018</v>
      </c>
      <c r="D33" s="25"/>
      <c r="E33" s="11" t="s">
        <v>29</v>
      </c>
      <c r="F33" s="11">
        <v>370.63</v>
      </c>
      <c r="G33" s="11"/>
      <c r="H33" s="11"/>
      <c r="I33" s="32">
        <f t="shared" si="1"/>
        <v>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25"/>
      <c r="B34" s="31" t="s">
        <v>99</v>
      </c>
      <c r="C34" s="29" t="s">
        <v>113</v>
      </c>
      <c r="D34" s="25"/>
      <c r="E34" s="11" t="s">
        <v>31</v>
      </c>
      <c r="F34" s="11">
        <v>329.83</v>
      </c>
      <c r="G34" s="11"/>
      <c r="H34" s="11"/>
      <c r="I34" s="32">
        <f t="shared" si="1"/>
        <v>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25"/>
      <c r="B35" s="31" t="s">
        <v>101</v>
      </c>
      <c r="C35" s="34" t="s">
        <v>114</v>
      </c>
      <c r="D35" s="25"/>
      <c r="E35" s="11" t="s">
        <v>32</v>
      </c>
      <c r="F35" s="11">
        <v>0</v>
      </c>
      <c r="G35" s="11"/>
      <c r="H35" s="11"/>
      <c r="I35" s="32" t="e">
        <f t="shared" si="1"/>
        <v>#DIV/0!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25"/>
      <c r="B36" s="31" t="s">
        <v>103</v>
      </c>
      <c r="C36" s="34" t="s">
        <v>115</v>
      </c>
      <c r="D36" s="25"/>
      <c r="E36" s="11" t="s">
        <v>35</v>
      </c>
      <c r="F36" s="11">
        <v>0</v>
      </c>
      <c r="G36" s="11"/>
      <c r="H36" s="11"/>
      <c r="I36" s="32" t="e">
        <f t="shared" si="1"/>
        <v>#DIV/0!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5">
      <c r="A37" s="25"/>
      <c r="B37" s="31" t="s">
        <v>105</v>
      </c>
      <c r="C37" s="34" t="s">
        <v>116</v>
      </c>
      <c r="D37" s="25"/>
      <c r="E37" s="11" t="s">
        <v>36</v>
      </c>
      <c r="F37" s="11">
        <v>99.21</v>
      </c>
      <c r="G37" s="11"/>
      <c r="H37" s="11"/>
      <c r="I37" s="32">
        <f t="shared" si="1"/>
        <v>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5">
      <c r="A38" s="35"/>
      <c r="B38" s="31" t="s">
        <v>33</v>
      </c>
      <c r="C38" s="34">
        <v>2210</v>
      </c>
      <c r="D38" s="24"/>
      <c r="E38" s="11" t="s">
        <v>37</v>
      </c>
      <c r="F38" s="11">
        <v>97.9</v>
      </c>
      <c r="G38" s="11"/>
      <c r="H38" s="11"/>
      <c r="I38" s="32">
        <f t="shared" si="1"/>
        <v>0</v>
      </c>
    </row>
    <row r="39" spans="1:26" ht="15.75" customHeight="1" x14ac:dyDescent="0.25">
      <c r="A39" s="35"/>
      <c r="B39" s="31" t="s">
        <v>34</v>
      </c>
      <c r="C39" s="34">
        <v>1105</v>
      </c>
      <c r="D39" s="24"/>
      <c r="E39" s="11" t="s">
        <v>38</v>
      </c>
      <c r="F39" s="11">
        <v>98.11</v>
      </c>
      <c r="G39" s="11"/>
      <c r="H39" s="11"/>
      <c r="I39" s="32">
        <f t="shared" si="1"/>
        <v>0</v>
      </c>
    </row>
    <row r="40" spans="1:26" ht="15.75" customHeight="1" x14ac:dyDescent="0.25">
      <c r="A40" s="35"/>
      <c r="B40" s="31" t="s">
        <v>107</v>
      </c>
      <c r="C40" s="36" t="s">
        <v>117</v>
      </c>
      <c r="D40" s="24"/>
      <c r="E40" s="11" t="s">
        <v>39</v>
      </c>
      <c r="F40" s="11">
        <v>17.28</v>
      </c>
      <c r="G40" s="11"/>
      <c r="H40" s="11"/>
      <c r="I40" s="32">
        <f t="shared" si="1"/>
        <v>0</v>
      </c>
    </row>
    <row r="41" spans="1:26" ht="15.75" customHeight="1" x14ac:dyDescent="0.25">
      <c r="A41" s="35"/>
      <c r="B41" s="31" t="s">
        <v>109</v>
      </c>
      <c r="C41" s="37"/>
      <c r="D41" s="24"/>
      <c r="E41" s="24"/>
      <c r="F41" s="24"/>
      <c r="G41" s="24"/>
      <c r="H41" s="24"/>
      <c r="I41" s="24"/>
    </row>
    <row r="42" spans="1:26" ht="15.75" customHeight="1" x14ac:dyDescent="0.25">
      <c r="A42" s="35"/>
      <c r="B42" s="31" t="s">
        <v>110</v>
      </c>
      <c r="C42" s="39" t="s">
        <v>118</v>
      </c>
      <c r="D42" s="24"/>
      <c r="E42" s="24"/>
      <c r="F42" s="24"/>
      <c r="G42" s="24"/>
      <c r="H42" s="24"/>
      <c r="I42" s="24"/>
    </row>
    <row r="43" spans="1:26" ht="15.7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</row>
    <row r="44" spans="1:26" ht="15.75" customHeight="1" x14ac:dyDescent="0.25">
      <c r="A44" s="25">
        <v>3</v>
      </c>
      <c r="B44" s="92" t="s">
        <v>91</v>
      </c>
      <c r="C44" s="86"/>
      <c r="D44" s="26"/>
      <c r="E44" s="92" t="s">
        <v>92</v>
      </c>
      <c r="F44" s="85"/>
      <c r="G44" s="85"/>
      <c r="H44" s="85"/>
      <c r="I44" s="86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5.5" customHeight="1" x14ac:dyDescent="0.25">
      <c r="A45" s="27"/>
      <c r="B45" s="28" t="s">
        <v>20</v>
      </c>
      <c r="C45" s="29" t="s">
        <v>47</v>
      </c>
      <c r="D45" s="27"/>
      <c r="E45" s="28" t="s">
        <v>15</v>
      </c>
      <c r="F45" s="28" t="s">
        <v>16</v>
      </c>
      <c r="G45" s="28" t="s">
        <v>93</v>
      </c>
      <c r="H45" s="28" t="s">
        <v>17</v>
      </c>
      <c r="I45" s="28" t="s">
        <v>18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customHeight="1" x14ac:dyDescent="0.25">
      <c r="A46" s="25"/>
      <c r="B46" s="31" t="s">
        <v>94</v>
      </c>
      <c r="C46" s="29" t="s">
        <v>119</v>
      </c>
      <c r="D46" s="25"/>
      <c r="E46" s="11" t="s">
        <v>19</v>
      </c>
      <c r="F46" s="11">
        <v>193.61</v>
      </c>
      <c r="G46" s="32"/>
      <c r="H46" s="32"/>
      <c r="I46" s="11">
        <f t="shared" ref="I46:I57" si="2">(H46-G46)/F46</f>
        <v>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25"/>
      <c r="B47" s="31" t="s">
        <v>27</v>
      </c>
      <c r="C47" s="29">
        <v>1994</v>
      </c>
      <c r="D47" s="25"/>
      <c r="E47" s="11" t="s">
        <v>22</v>
      </c>
      <c r="F47" s="11">
        <v>302.45</v>
      </c>
      <c r="G47" s="32"/>
      <c r="H47" s="32"/>
      <c r="I47" s="32">
        <f t="shared" si="2"/>
        <v>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25"/>
      <c r="B48" s="31" t="s">
        <v>21</v>
      </c>
      <c r="C48" s="29" t="s">
        <v>96</v>
      </c>
      <c r="D48" s="25"/>
      <c r="E48" s="11" t="s">
        <v>25</v>
      </c>
      <c r="F48" s="11">
        <v>207.32</v>
      </c>
      <c r="G48" s="11"/>
      <c r="H48" s="11"/>
      <c r="I48" s="32">
        <f t="shared" si="2"/>
        <v>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25"/>
      <c r="B49" s="31" t="s">
        <v>97</v>
      </c>
      <c r="C49" s="33">
        <v>344333.44</v>
      </c>
      <c r="D49" s="25"/>
      <c r="E49" s="11" t="s">
        <v>26</v>
      </c>
      <c r="F49" s="11">
        <v>337.67</v>
      </c>
      <c r="G49" s="11"/>
      <c r="H49" s="11"/>
      <c r="I49" s="32">
        <f t="shared" si="2"/>
        <v>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25"/>
      <c r="B50" s="31" t="s">
        <v>98</v>
      </c>
      <c r="C50" s="29">
        <v>2022</v>
      </c>
      <c r="D50" s="25"/>
      <c r="E50" s="11" t="s">
        <v>29</v>
      </c>
      <c r="F50" s="11">
        <v>333.44</v>
      </c>
      <c r="G50" s="11"/>
      <c r="H50" s="11"/>
      <c r="I50" s="32">
        <f t="shared" si="2"/>
        <v>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25"/>
      <c r="B51" s="31" t="s">
        <v>99</v>
      </c>
      <c r="C51" s="29" t="s">
        <v>113</v>
      </c>
      <c r="D51" s="25"/>
      <c r="E51" s="11" t="s">
        <v>31</v>
      </c>
      <c r="F51" s="11">
        <v>202.97</v>
      </c>
      <c r="G51" s="11"/>
      <c r="H51" s="11"/>
      <c r="I51" s="32">
        <f t="shared" si="2"/>
        <v>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25"/>
      <c r="B52" s="31" t="s">
        <v>101</v>
      </c>
      <c r="C52" s="34" t="s">
        <v>120</v>
      </c>
      <c r="D52" s="25"/>
      <c r="E52" s="11" t="s">
        <v>32</v>
      </c>
      <c r="F52" s="11">
        <v>87.01</v>
      </c>
      <c r="G52" s="11"/>
      <c r="H52" s="11"/>
      <c r="I52" s="32">
        <f t="shared" si="2"/>
        <v>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25"/>
      <c r="B53" s="31" t="s">
        <v>103</v>
      </c>
      <c r="C53" s="34" t="s">
        <v>121</v>
      </c>
      <c r="D53" s="25"/>
      <c r="E53" s="11" t="s">
        <v>35</v>
      </c>
      <c r="F53" s="11">
        <v>138.36000000000001</v>
      </c>
      <c r="G53" s="11"/>
      <c r="H53" s="11"/>
      <c r="I53" s="32">
        <f t="shared" si="2"/>
        <v>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25"/>
      <c r="B54" s="31" t="s">
        <v>105</v>
      </c>
      <c r="C54" s="34" t="s">
        <v>122</v>
      </c>
      <c r="D54" s="25"/>
      <c r="E54" s="11" t="s">
        <v>36</v>
      </c>
      <c r="F54" s="11">
        <v>91.19</v>
      </c>
      <c r="G54" s="11"/>
      <c r="H54" s="11"/>
      <c r="I54" s="32">
        <f t="shared" si="2"/>
        <v>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35"/>
      <c r="B55" s="31" t="s">
        <v>33</v>
      </c>
      <c r="C55" s="34">
        <v>2700</v>
      </c>
      <c r="D55" s="24"/>
      <c r="E55" s="11" t="s">
        <v>37</v>
      </c>
      <c r="F55" s="11">
        <v>43.74</v>
      </c>
      <c r="G55" s="11"/>
      <c r="H55" s="11"/>
      <c r="I55" s="32">
        <f t="shared" si="2"/>
        <v>0</v>
      </c>
    </row>
    <row r="56" spans="1:26" ht="15.75" customHeight="1" x14ac:dyDescent="0.25">
      <c r="A56" s="35"/>
      <c r="B56" s="31" t="s">
        <v>34</v>
      </c>
      <c r="C56" s="34">
        <v>1350</v>
      </c>
      <c r="D56" s="24"/>
      <c r="E56" s="11" t="s">
        <v>38</v>
      </c>
      <c r="F56" s="11">
        <v>35.25</v>
      </c>
      <c r="G56" s="11"/>
      <c r="H56" s="11"/>
      <c r="I56" s="32">
        <f t="shared" si="2"/>
        <v>0</v>
      </c>
    </row>
    <row r="57" spans="1:26" ht="15.75" customHeight="1" x14ac:dyDescent="0.25">
      <c r="A57" s="35"/>
      <c r="B57" s="31" t="s">
        <v>107</v>
      </c>
      <c r="C57" s="36" t="s">
        <v>117</v>
      </c>
      <c r="D57" s="24"/>
      <c r="E57" s="11" t="s">
        <v>39</v>
      </c>
      <c r="F57" s="11">
        <v>25.54</v>
      </c>
      <c r="G57" s="11"/>
      <c r="H57" s="11"/>
      <c r="I57" s="32">
        <f t="shared" si="2"/>
        <v>0</v>
      </c>
    </row>
    <row r="58" spans="1:26" ht="15.75" customHeight="1" x14ac:dyDescent="0.25">
      <c r="A58" s="35"/>
      <c r="B58" s="31" t="s">
        <v>109</v>
      </c>
      <c r="C58" s="37"/>
      <c r="D58" s="24"/>
      <c r="E58" s="24"/>
      <c r="F58" s="24"/>
      <c r="G58" s="24"/>
      <c r="H58" s="24"/>
      <c r="I58" s="24"/>
    </row>
    <row r="59" spans="1:26" ht="15.75" customHeight="1" x14ac:dyDescent="0.25">
      <c r="A59" s="35"/>
      <c r="B59" s="31" t="s">
        <v>110</v>
      </c>
      <c r="C59" s="38" t="s">
        <v>123</v>
      </c>
      <c r="D59" s="24"/>
      <c r="E59" s="24"/>
      <c r="F59" s="24"/>
      <c r="G59" s="24"/>
      <c r="H59" s="24"/>
      <c r="I59" s="24"/>
    </row>
    <row r="60" spans="1:26" ht="15.75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</row>
    <row r="61" spans="1:26" ht="15.75" customHeight="1" x14ac:dyDescent="0.25">
      <c r="A61" s="25">
        <v>4</v>
      </c>
      <c r="B61" s="93" t="s">
        <v>91</v>
      </c>
      <c r="C61" s="86"/>
      <c r="D61" s="40"/>
      <c r="E61" s="93" t="s">
        <v>92</v>
      </c>
      <c r="F61" s="85"/>
      <c r="G61" s="85"/>
      <c r="H61" s="85"/>
      <c r="I61" s="86"/>
      <c r="J61" s="4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5.5" customHeight="1" x14ac:dyDescent="0.25">
      <c r="A62" s="27"/>
      <c r="B62" s="42" t="s">
        <v>20</v>
      </c>
      <c r="C62" s="43" t="s">
        <v>52</v>
      </c>
      <c r="D62" s="44"/>
      <c r="E62" s="42" t="s">
        <v>15</v>
      </c>
      <c r="F62" s="42" t="s">
        <v>16</v>
      </c>
      <c r="G62" s="42" t="s">
        <v>93</v>
      </c>
      <c r="H62" s="42" t="s">
        <v>17</v>
      </c>
      <c r="I62" s="42" t="s">
        <v>18</v>
      </c>
      <c r="J62" s="45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customHeight="1" x14ac:dyDescent="0.25">
      <c r="A63" s="25"/>
      <c r="B63" s="46" t="s">
        <v>94</v>
      </c>
      <c r="C63" s="43" t="s">
        <v>124</v>
      </c>
      <c r="D63" s="47"/>
      <c r="E63" s="48" t="s">
        <v>19</v>
      </c>
      <c r="F63" s="48">
        <v>0</v>
      </c>
      <c r="G63" s="49"/>
      <c r="H63" s="49"/>
      <c r="I63" s="48" t="e">
        <f t="shared" ref="I63:I74" si="3">(H63-G63)/F63</f>
        <v>#DIV/0!</v>
      </c>
      <c r="J63" s="4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25"/>
      <c r="B64" s="46" t="s">
        <v>27</v>
      </c>
      <c r="C64" s="43">
        <v>2024</v>
      </c>
      <c r="D64" s="47"/>
      <c r="E64" s="48" t="s">
        <v>22</v>
      </c>
      <c r="F64" s="48">
        <v>0</v>
      </c>
      <c r="G64" s="49"/>
      <c r="H64" s="49"/>
      <c r="I64" s="49" t="e">
        <f t="shared" si="3"/>
        <v>#DIV/0!</v>
      </c>
      <c r="J64" s="4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25"/>
      <c r="B65" s="46" t="s">
        <v>21</v>
      </c>
      <c r="C65" s="43" t="s">
        <v>96</v>
      </c>
      <c r="D65" s="47"/>
      <c r="E65" s="48" t="s">
        <v>25</v>
      </c>
      <c r="F65" s="48">
        <v>0</v>
      </c>
      <c r="G65" s="48"/>
      <c r="H65" s="48"/>
      <c r="I65" s="49" t="e">
        <f t="shared" si="3"/>
        <v>#DIV/0!</v>
      </c>
      <c r="J65" s="4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25"/>
      <c r="B66" s="46" t="s">
        <v>97</v>
      </c>
      <c r="C66" s="50">
        <v>5500000</v>
      </c>
      <c r="D66" s="47"/>
      <c r="E66" s="48" t="s">
        <v>26</v>
      </c>
      <c r="F66" s="48">
        <v>0</v>
      </c>
      <c r="G66" s="48"/>
      <c r="H66" s="48"/>
      <c r="I66" s="49" t="e">
        <f t="shared" si="3"/>
        <v>#DIV/0!</v>
      </c>
      <c r="J66" s="4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25"/>
      <c r="B67" s="46" t="s">
        <v>98</v>
      </c>
      <c r="C67" s="43">
        <v>2024</v>
      </c>
      <c r="D67" s="47"/>
      <c r="E67" s="48" t="s">
        <v>29</v>
      </c>
      <c r="F67" s="48">
        <v>0</v>
      </c>
      <c r="G67" s="48"/>
      <c r="H67" s="48"/>
      <c r="I67" s="49" t="e">
        <f t="shared" si="3"/>
        <v>#DIV/0!</v>
      </c>
      <c r="J67" s="4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25"/>
      <c r="B68" s="46" t="s">
        <v>99</v>
      </c>
      <c r="C68" s="43" t="s">
        <v>113</v>
      </c>
      <c r="D68" s="47"/>
      <c r="E68" s="48" t="s">
        <v>31</v>
      </c>
      <c r="F68" s="48">
        <v>0</v>
      </c>
      <c r="G68" s="48"/>
      <c r="H68" s="48"/>
      <c r="I68" s="49" t="e">
        <f t="shared" si="3"/>
        <v>#DIV/0!</v>
      </c>
      <c r="J68" s="4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25"/>
      <c r="B69" s="46" t="s">
        <v>101</v>
      </c>
      <c r="C69" s="51" t="s">
        <v>125</v>
      </c>
      <c r="D69" s="47"/>
      <c r="E69" s="48" t="s">
        <v>32</v>
      </c>
      <c r="F69" s="48">
        <v>0</v>
      </c>
      <c r="G69" s="48"/>
      <c r="H69" s="48"/>
      <c r="I69" s="49" t="e">
        <f t="shared" si="3"/>
        <v>#DIV/0!</v>
      </c>
      <c r="J69" s="4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25"/>
      <c r="B70" s="46" t="s">
        <v>103</v>
      </c>
      <c r="C70" s="51" t="s">
        <v>126</v>
      </c>
      <c r="D70" s="47"/>
      <c r="E70" s="48" t="s">
        <v>35</v>
      </c>
      <c r="F70" s="48">
        <v>0</v>
      </c>
      <c r="G70" s="48"/>
      <c r="H70" s="48"/>
      <c r="I70" s="49" t="e">
        <f t="shared" si="3"/>
        <v>#DIV/0!</v>
      </c>
      <c r="J70" s="4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25"/>
      <c r="B71" s="46" t="s">
        <v>105</v>
      </c>
      <c r="C71" s="51" t="s">
        <v>127</v>
      </c>
      <c r="D71" s="47"/>
      <c r="E71" s="48" t="s">
        <v>36</v>
      </c>
      <c r="F71" s="48">
        <v>0</v>
      </c>
      <c r="G71" s="48"/>
      <c r="H71" s="48"/>
      <c r="I71" s="49" t="e">
        <f t="shared" si="3"/>
        <v>#DIV/0!</v>
      </c>
      <c r="J71" s="4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35"/>
      <c r="B72" s="46" t="s">
        <v>33</v>
      </c>
      <c r="C72" s="43">
        <v>10000</v>
      </c>
      <c r="D72" s="52"/>
      <c r="E72" s="48" t="s">
        <v>37</v>
      </c>
      <c r="F72" s="48">
        <v>150.94</v>
      </c>
      <c r="G72" s="48"/>
      <c r="H72" s="48"/>
      <c r="I72" s="49">
        <f t="shared" si="3"/>
        <v>0</v>
      </c>
      <c r="J72" s="53"/>
    </row>
    <row r="73" spans="1:26" ht="15.75" customHeight="1" x14ac:dyDescent="0.25">
      <c r="A73" s="35"/>
      <c r="B73" s="46" t="s">
        <v>34</v>
      </c>
      <c r="C73" s="43">
        <v>5000</v>
      </c>
      <c r="D73" s="52"/>
      <c r="E73" s="48" t="s">
        <v>38</v>
      </c>
      <c r="F73" s="48">
        <v>145</v>
      </c>
      <c r="G73" s="48"/>
      <c r="H73" s="48"/>
      <c r="I73" s="49">
        <f t="shared" si="3"/>
        <v>0</v>
      </c>
      <c r="J73" s="53"/>
    </row>
    <row r="74" spans="1:26" ht="15.75" customHeight="1" x14ac:dyDescent="0.25">
      <c r="A74" s="35"/>
      <c r="B74" s="46" t="s">
        <v>107</v>
      </c>
      <c r="C74" s="38" t="s">
        <v>117</v>
      </c>
      <c r="D74" s="52"/>
      <c r="E74" s="48" t="s">
        <v>39</v>
      </c>
      <c r="F74" s="48">
        <v>86.14</v>
      </c>
      <c r="G74" s="48"/>
      <c r="H74" s="48"/>
      <c r="I74" s="49">
        <f t="shared" si="3"/>
        <v>0</v>
      </c>
      <c r="J74" s="53"/>
    </row>
    <row r="75" spans="1:26" ht="15.75" customHeight="1" x14ac:dyDescent="0.25">
      <c r="A75" s="35"/>
      <c r="B75" s="46" t="s">
        <v>109</v>
      </c>
      <c r="C75" s="54">
        <v>4880</v>
      </c>
      <c r="D75" s="52"/>
      <c r="E75" s="52"/>
      <c r="F75" s="52"/>
      <c r="G75" s="52"/>
      <c r="H75" s="52"/>
      <c r="I75" s="52"/>
      <c r="J75" s="53"/>
    </row>
    <row r="76" spans="1:26" ht="15.75" customHeight="1" x14ac:dyDescent="0.25">
      <c r="A76" s="35"/>
      <c r="B76" s="46" t="s">
        <v>110</v>
      </c>
      <c r="C76" s="38" t="s">
        <v>128</v>
      </c>
      <c r="D76" s="52"/>
      <c r="E76" s="52"/>
      <c r="F76" s="52"/>
      <c r="G76" s="52"/>
      <c r="H76" s="52"/>
      <c r="I76" s="52"/>
      <c r="J76" s="53"/>
    </row>
    <row r="77" spans="1:26" ht="15.75" customHeight="1" x14ac:dyDescent="0.25">
      <c r="A77" s="24"/>
      <c r="B77" s="52"/>
      <c r="C77" s="52"/>
      <c r="D77" s="52"/>
      <c r="E77" s="52"/>
      <c r="F77" s="52"/>
      <c r="G77" s="52"/>
      <c r="H77" s="52"/>
      <c r="I77" s="52"/>
      <c r="J77" s="53"/>
    </row>
    <row r="78" spans="1:26" ht="15.75" customHeight="1" x14ac:dyDescent="0.25">
      <c r="A78" s="25">
        <v>5</v>
      </c>
      <c r="B78" s="93" t="s">
        <v>91</v>
      </c>
      <c r="C78" s="86"/>
      <c r="D78" s="40"/>
      <c r="E78" s="93" t="s">
        <v>92</v>
      </c>
      <c r="F78" s="85"/>
      <c r="G78" s="85"/>
      <c r="H78" s="85"/>
      <c r="I78" s="86"/>
      <c r="J78" s="4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5.5" customHeight="1" x14ac:dyDescent="0.25">
      <c r="A79" s="27"/>
      <c r="B79" s="42" t="s">
        <v>20</v>
      </c>
      <c r="C79" s="43" t="s">
        <v>56</v>
      </c>
      <c r="D79" s="44"/>
      <c r="E79" s="42" t="s">
        <v>15</v>
      </c>
      <c r="F79" s="42" t="s">
        <v>16</v>
      </c>
      <c r="G79" s="42" t="s">
        <v>93</v>
      </c>
      <c r="H79" s="42" t="s">
        <v>17</v>
      </c>
      <c r="I79" s="42" t="s">
        <v>18</v>
      </c>
      <c r="J79" s="45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customHeight="1" x14ac:dyDescent="0.25">
      <c r="A80" s="25"/>
      <c r="B80" s="46" t="s">
        <v>94</v>
      </c>
      <c r="C80" s="43" t="s">
        <v>129</v>
      </c>
      <c r="D80" s="47"/>
      <c r="E80" s="48" t="s">
        <v>19</v>
      </c>
      <c r="F80" s="48">
        <v>0</v>
      </c>
      <c r="G80" s="49"/>
      <c r="H80" s="49"/>
      <c r="I80" s="48" t="e">
        <f t="shared" ref="I80:I91" si="4">(H80-G80)/F80</f>
        <v>#DIV/0!</v>
      </c>
      <c r="J80" s="41"/>
      <c r="M80" s="55">
        <f>L80-K80</f>
        <v>0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25"/>
      <c r="B81" s="46" t="s">
        <v>27</v>
      </c>
      <c r="C81" s="43">
        <v>2024</v>
      </c>
      <c r="D81" s="47"/>
      <c r="E81" s="48" t="s">
        <v>22</v>
      </c>
      <c r="F81" s="48">
        <v>0</v>
      </c>
      <c r="G81" s="49"/>
      <c r="H81" s="49"/>
      <c r="I81" s="49" t="e">
        <f t="shared" si="4"/>
        <v>#DIV/0!</v>
      </c>
      <c r="J81" s="53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25"/>
      <c r="B82" s="46" t="s">
        <v>21</v>
      </c>
      <c r="C82" s="43" t="s">
        <v>96</v>
      </c>
      <c r="D82" s="47"/>
      <c r="E82" s="48" t="s">
        <v>25</v>
      </c>
      <c r="F82" s="48">
        <v>0</v>
      </c>
      <c r="G82" s="48"/>
      <c r="H82" s="48"/>
      <c r="I82" s="49" t="e">
        <f t="shared" si="4"/>
        <v>#DIV/0!</v>
      </c>
      <c r="J82" s="53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25"/>
      <c r="B83" s="46" t="s">
        <v>97</v>
      </c>
      <c r="C83" s="50">
        <v>4000000</v>
      </c>
      <c r="D83" s="47"/>
      <c r="E83" s="48" t="s">
        <v>26</v>
      </c>
      <c r="F83" s="48">
        <v>0</v>
      </c>
      <c r="G83" s="48"/>
      <c r="H83" s="48"/>
      <c r="I83" s="49" t="e">
        <f t="shared" si="4"/>
        <v>#DIV/0!</v>
      </c>
      <c r="J83" s="53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25"/>
      <c r="B84" s="46" t="s">
        <v>98</v>
      </c>
      <c r="C84" s="43">
        <v>2024</v>
      </c>
      <c r="D84" s="47"/>
      <c r="E84" s="48" t="s">
        <v>29</v>
      </c>
      <c r="F84" s="48">
        <v>0</v>
      </c>
      <c r="G84" s="48"/>
      <c r="H84" s="48"/>
      <c r="I84" s="49" t="e">
        <f t="shared" si="4"/>
        <v>#DIV/0!</v>
      </c>
      <c r="J84" s="53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25"/>
      <c r="B85" s="46" t="s">
        <v>99</v>
      </c>
      <c r="C85" s="43" t="s">
        <v>113</v>
      </c>
      <c r="D85" s="47"/>
      <c r="E85" s="48" t="s">
        <v>31</v>
      </c>
      <c r="F85" s="48">
        <v>0</v>
      </c>
      <c r="G85" s="48"/>
      <c r="H85" s="48"/>
      <c r="I85" s="49" t="e">
        <f t="shared" si="4"/>
        <v>#DIV/0!</v>
      </c>
      <c r="J85" s="53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25"/>
      <c r="B86" s="46" t="s">
        <v>101</v>
      </c>
      <c r="C86" s="51" t="s">
        <v>130</v>
      </c>
      <c r="D86" s="47"/>
      <c r="E86" s="48" t="s">
        <v>32</v>
      </c>
      <c r="F86" s="48">
        <v>0</v>
      </c>
      <c r="G86" s="48"/>
      <c r="H86" s="48"/>
      <c r="I86" s="49" t="e">
        <f t="shared" si="4"/>
        <v>#DIV/0!</v>
      </c>
      <c r="J86" s="53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25"/>
      <c r="B87" s="46" t="s">
        <v>103</v>
      </c>
      <c r="C87" s="51" t="s">
        <v>131</v>
      </c>
      <c r="D87" s="47"/>
      <c r="E87" s="48" t="s">
        <v>35</v>
      </c>
      <c r="F87" s="48">
        <v>76.84</v>
      </c>
      <c r="G87" s="48"/>
      <c r="H87" s="48"/>
      <c r="I87" s="49">
        <f t="shared" si="4"/>
        <v>0</v>
      </c>
      <c r="J87" s="53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25"/>
      <c r="B88" s="46" t="s">
        <v>105</v>
      </c>
      <c r="C88" s="51" t="s">
        <v>132</v>
      </c>
      <c r="D88" s="47"/>
      <c r="E88" s="48" t="s">
        <v>36</v>
      </c>
      <c r="F88" s="48">
        <v>180.53</v>
      </c>
      <c r="G88" s="48"/>
      <c r="H88" s="48"/>
      <c r="I88" s="49">
        <f t="shared" si="4"/>
        <v>0</v>
      </c>
      <c r="J88" s="53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35"/>
      <c r="B89" s="46" t="s">
        <v>33</v>
      </c>
      <c r="C89" s="43">
        <v>10000</v>
      </c>
      <c r="D89" s="52"/>
      <c r="E89" s="48" t="s">
        <v>37</v>
      </c>
      <c r="F89" s="48">
        <v>9</v>
      </c>
      <c r="G89" s="48"/>
      <c r="H89" s="48"/>
      <c r="I89" s="49">
        <f t="shared" si="4"/>
        <v>0</v>
      </c>
      <c r="J89" s="53"/>
    </row>
    <row r="90" spans="1:26" ht="15.75" customHeight="1" x14ac:dyDescent="0.25">
      <c r="A90" s="35"/>
      <c r="B90" s="46" t="s">
        <v>34</v>
      </c>
      <c r="C90" s="43">
        <v>5000</v>
      </c>
      <c r="D90" s="52"/>
      <c r="E90" s="48" t="s">
        <v>38</v>
      </c>
      <c r="F90" s="48">
        <v>0</v>
      </c>
      <c r="G90" s="48"/>
      <c r="H90" s="48"/>
      <c r="I90" s="49" t="e">
        <f t="shared" si="4"/>
        <v>#DIV/0!</v>
      </c>
      <c r="J90" s="53"/>
    </row>
    <row r="91" spans="1:26" ht="15.75" customHeight="1" x14ac:dyDescent="0.25">
      <c r="A91" s="35"/>
      <c r="B91" s="46" t="s">
        <v>107</v>
      </c>
      <c r="C91" s="38" t="s">
        <v>117</v>
      </c>
      <c r="D91" s="52"/>
      <c r="E91" s="48" t="s">
        <v>39</v>
      </c>
      <c r="F91" s="48">
        <v>349.57</v>
      </c>
      <c r="G91" s="48"/>
      <c r="H91" s="48"/>
      <c r="I91" s="49">
        <f t="shared" si="4"/>
        <v>0</v>
      </c>
      <c r="J91" s="53"/>
    </row>
    <row r="92" spans="1:26" ht="15.75" customHeight="1" x14ac:dyDescent="0.25">
      <c r="A92" s="35"/>
      <c r="B92" s="46" t="s">
        <v>109</v>
      </c>
      <c r="C92" s="54">
        <v>4378</v>
      </c>
      <c r="D92" s="52"/>
      <c r="E92" s="52"/>
      <c r="F92" s="52"/>
      <c r="G92" s="52"/>
      <c r="H92" s="52"/>
      <c r="I92" s="52"/>
      <c r="J92" s="53"/>
    </row>
    <row r="93" spans="1:26" ht="15.75" customHeight="1" x14ac:dyDescent="0.25">
      <c r="A93" s="35"/>
      <c r="B93" s="46" t="s">
        <v>110</v>
      </c>
      <c r="C93" s="38" t="s">
        <v>128</v>
      </c>
      <c r="D93" s="52"/>
      <c r="E93" s="52"/>
      <c r="F93" s="52"/>
      <c r="G93" s="52"/>
      <c r="H93" s="52"/>
      <c r="I93" s="52"/>
      <c r="J93" s="53"/>
    </row>
    <row r="94" spans="1:26" ht="15.7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</row>
    <row r="95" spans="1:26" ht="15.75" customHeight="1" x14ac:dyDescent="0.25">
      <c r="A95" s="25">
        <v>6</v>
      </c>
      <c r="B95" s="92" t="s">
        <v>91</v>
      </c>
      <c r="C95" s="86"/>
      <c r="D95" s="26"/>
      <c r="E95" s="92" t="s">
        <v>92</v>
      </c>
      <c r="F95" s="85"/>
      <c r="G95" s="85"/>
      <c r="H95" s="85"/>
      <c r="I95" s="8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5.5" customHeight="1" x14ac:dyDescent="0.25">
      <c r="A96" s="27"/>
      <c r="B96" s="28" t="s">
        <v>20</v>
      </c>
      <c r="C96" s="29" t="s">
        <v>60</v>
      </c>
      <c r="D96" s="27"/>
      <c r="E96" s="28" t="s">
        <v>15</v>
      </c>
      <c r="F96" s="28" t="s">
        <v>16</v>
      </c>
      <c r="G96" s="28" t="s">
        <v>93</v>
      </c>
      <c r="H96" s="28" t="s">
        <v>17</v>
      </c>
      <c r="I96" s="28" t="s">
        <v>18</v>
      </c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 x14ac:dyDescent="0.25">
      <c r="A97" s="25"/>
      <c r="B97" s="31" t="s">
        <v>94</v>
      </c>
      <c r="C97" s="29" t="s">
        <v>133</v>
      </c>
      <c r="D97" s="25"/>
      <c r="E97" s="11" t="s">
        <v>19</v>
      </c>
      <c r="F97" s="11">
        <v>0</v>
      </c>
      <c r="G97" s="32"/>
      <c r="H97" s="32"/>
      <c r="I97" s="11" t="e">
        <f t="shared" ref="I97:I108" si="5">(H97-G97)/F97</f>
        <v>#DIV/0!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25"/>
      <c r="B98" s="31" t="s">
        <v>27</v>
      </c>
      <c r="C98" s="29">
        <v>2002</v>
      </c>
      <c r="D98" s="25"/>
      <c r="E98" s="11" t="s">
        <v>22</v>
      </c>
      <c r="F98" s="11">
        <v>0</v>
      </c>
      <c r="G98" s="32"/>
      <c r="H98" s="32"/>
      <c r="I98" s="32" t="e">
        <f t="shared" si="5"/>
        <v>#DIV/0!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25"/>
      <c r="B99" s="31" t="s">
        <v>21</v>
      </c>
      <c r="C99" s="29" t="s">
        <v>96</v>
      </c>
      <c r="D99" s="25"/>
      <c r="E99" s="11" t="s">
        <v>25</v>
      </c>
      <c r="F99" s="11">
        <v>0</v>
      </c>
      <c r="G99" s="11"/>
      <c r="H99" s="11"/>
      <c r="I99" s="32" t="e">
        <f t="shared" si="5"/>
        <v>#DIV/0!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25"/>
      <c r="B100" s="31" t="s">
        <v>97</v>
      </c>
      <c r="C100" s="33">
        <v>733000</v>
      </c>
      <c r="D100" s="25"/>
      <c r="E100" s="11" t="s">
        <v>26</v>
      </c>
      <c r="F100" s="11">
        <v>0</v>
      </c>
      <c r="G100" s="11"/>
      <c r="H100" s="11"/>
      <c r="I100" s="32" t="e">
        <f t="shared" si="5"/>
        <v>#DIV/0!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25"/>
      <c r="B101" s="31" t="s">
        <v>98</v>
      </c>
      <c r="C101" s="29">
        <v>2002</v>
      </c>
      <c r="D101" s="25"/>
      <c r="E101" s="11" t="s">
        <v>29</v>
      </c>
      <c r="F101" s="11">
        <v>0</v>
      </c>
      <c r="G101" s="11"/>
      <c r="H101" s="11"/>
      <c r="I101" s="32" t="e">
        <f t="shared" si="5"/>
        <v>#DIV/0!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25"/>
      <c r="B102" s="31" t="s">
        <v>99</v>
      </c>
      <c r="C102" s="29" t="s">
        <v>113</v>
      </c>
      <c r="D102" s="25"/>
      <c r="E102" s="11" t="s">
        <v>31</v>
      </c>
      <c r="F102" s="11">
        <v>0</v>
      </c>
      <c r="G102" s="11"/>
      <c r="H102" s="11"/>
      <c r="I102" s="32" t="e">
        <f t="shared" si="5"/>
        <v>#DIV/0!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25"/>
      <c r="B103" s="31" t="s">
        <v>101</v>
      </c>
      <c r="C103" s="34" t="s">
        <v>134</v>
      </c>
      <c r="D103" s="25"/>
      <c r="E103" s="11" t="s">
        <v>32</v>
      </c>
      <c r="F103" s="11">
        <v>0</v>
      </c>
      <c r="G103" s="11"/>
      <c r="H103" s="11"/>
      <c r="I103" s="32" t="e">
        <f t="shared" si="5"/>
        <v>#DIV/0!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25"/>
      <c r="B104" s="31" t="s">
        <v>103</v>
      </c>
      <c r="C104" s="34" t="s">
        <v>135</v>
      </c>
      <c r="D104" s="25"/>
      <c r="E104" s="11" t="s">
        <v>35</v>
      </c>
      <c r="F104" s="11">
        <v>0</v>
      </c>
      <c r="G104" s="11"/>
      <c r="H104" s="11"/>
      <c r="I104" s="32" t="e">
        <f t="shared" si="5"/>
        <v>#DIV/0!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25"/>
      <c r="B105" s="31" t="s">
        <v>105</v>
      </c>
      <c r="C105" s="29" t="s">
        <v>136</v>
      </c>
      <c r="D105" s="25"/>
      <c r="E105" s="11" t="s">
        <v>36</v>
      </c>
      <c r="F105" s="11">
        <v>0</v>
      </c>
      <c r="G105" s="11"/>
      <c r="H105" s="11"/>
      <c r="I105" s="32" t="e">
        <f t="shared" si="5"/>
        <v>#DIV/0!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35"/>
      <c r="B106" s="31" t="s">
        <v>33</v>
      </c>
      <c r="C106" s="29">
        <v>2700</v>
      </c>
      <c r="D106" s="24"/>
      <c r="E106" s="11" t="s">
        <v>37</v>
      </c>
      <c r="F106" s="11">
        <v>0</v>
      </c>
      <c r="G106" s="11"/>
      <c r="H106" s="11"/>
      <c r="I106" s="32" t="e">
        <f t="shared" si="5"/>
        <v>#DIV/0!</v>
      </c>
    </row>
    <row r="107" spans="1:26" ht="15.75" customHeight="1" x14ac:dyDescent="0.25">
      <c r="A107" s="35"/>
      <c r="B107" s="31" t="s">
        <v>34</v>
      </c>
      <c r="C107" s="29">
        <v>1350</v>
      </c>
      <c r="D107" s="24"/>
      <c r="E107" s="11" t="s">
        <v>38</v>
      </c>
      <c r="F107" s="11">
        <v>0</v>
      </c>
      <c r="G107" s="11"/>
      <c r="H107" s="11"/>
      <c r="I107" s="32" t="e">
        <f t="shared" si="5"/>
        <v>#DIV/0!</v>
      </c>
    </row>
    <row r="108" spans="1:26" ht="15.75" customHeight="1" x14ac:dyDescent="0.25">
      <c r="A108" s="35"/>
      <c r="B108" s="31" t="s">
        <v>107</v>
      </c>
      <c r="C108" s="29" t="s">
        <v>137</v>
      </c>
      <c r="D108" s="24"/>
      <c r="E108" s="11" t="s">
        <v>39</v>
      </c>
      <c r="F108" s="11">
        <v>0</v>
      </c>
      <c r="G108" s="11"/>
      <c r="H108" s="11"/>
      <c r="I108" s="32" t="e">
        <f t="shared" si="5"/>
        <v>#DIV/0!</v>
      </c>
    </row>
    <row r="109" spans="1:26" ht="15.75" customHeight="1" x14ac:dyDescent="0.25">
      <c r="A109" s="35"/>
      <c r="B109" s="31" t="s">
        <v>109</v>
      </c>
      <c r="C109" s="37"/>
      <c r="D109" s="24"/>
      <c r="E109" s="24"/>
      <c r="F109" s="24"/>
      <c r="G109" s="24"/>
      <c r="H109" s="24"/>
      <c r="I109" s="24"/>
    </row>
    <row r="110" spans="1:26" ht="15.75" customHeight="1" x14ac:dyDescent="0.25">
      <c r="A110" s="35"/>
      <c r="B110" s="31" t="s">
        <v>110</v>
      </c>
      <c r="C110" s="29" t="s">
        <v>138</v>
      </c>
      <c r="D110" s="24"/>
      <c r="E110" s="24"/>
      <c r="F110" s="24"/>
      <c r="G110" s="24"/>
      <c r="H110" s="24"/>
      <c r="I110" s="24"/>
    </row>
    <row r="111" spans="1:26" ht="15.7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</row>
    <row r="112" spans="1:26" ht="15.75" customHeight="1" x14ac:dyDescent="0.25">
      <c r="A112" s="25">
        <v>7</v>
      </c>
      <c r="B112" s="92" t="s">
        <v>91</v>
      </c>
      <c r="C112" s="86"/>
      <c r="D112" s="26"/>
      <c r="E112" s="92" t="s">
        <v>92</v>
      </c>
      <c r="F112" s="85"/>
      <c r="G112" s="85"/>
      <c r="H112" s="85"/>
      <c r="I112" s="8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25.5" customHeight="1" x14ac:dyDescent="0.25">
      <c r="A113" s="27"/>
      <c r="B113" s="28" t="s">
        <v>20</v>
      </c>
      <c r="C113" s="29" t="s">
        <v>64</v>
      </c>
      <c r="D113" s="27"/>
      <c r="E113" s="28" t="s">
        <v>15</v>
      </c>
      <c r="F113" s="28" t="s">
        <v>16</v>
      </c>
      <c r="G113" s="28" t="s">
        <v>93</v>
      </c>
      <c r="H113" s="28" t="s">
        <v>17</v>
      </c>
      <c r="I113" s="28" t="s">
        <v>18</v>
      </c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customHeight="1" x14ac:dyDescent="0.25">
      <c r="A114" s="25"/>
      <c r="B114" s="31" t="s">
        <v>94</v>
      </c>
      <c r="C114" s="29" t="s">
        <v>139</v>
      </c>
      <c r="D114" s="25"/>
      <c r="E114" s="11" t="s">
        <v>19</v>
      </c>
      <c r="F114" s="11">
        <v>0</v>
      </c>
      <c r="G114" s="32"/>
      <c r="H114" s="32"/>
      <c r="I114" s="11" t="e">
        <f t="shared" ref="I114:I125" si="6">(H114-G114)/F114</f>
        <v>#DIV/0!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25"/>
      <c r="B115" s="31" t="s">
        <v>27</v>
      </c>
      <c r="C115" s="29">
        <v>1998</v>
      </c>
      <c r="D115" s="25"/>
      <c r="E115" s="11" t="s">
        <v>22</v>
      </c>
      <c r="F115" s="11">
        <v>0</v>
      </c>
      <c r="G115" s="32"/>
      <c r="H115" s="32"/>
      <c r="I115" s="32" t="e">
        <f t="shared" si="6"/>
        <v>#DIV/0!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25"/>
      <c r="B116" s="31" t="s">
        <v>21</v>
      </c>
      <c r="C116" s="29" t="s">
        <v>96</v>
      </c>
      <c r="D116" s="25"/>
      <c r="E116" s="11" t="s">
        <v>25</v>
      </c>
      <c r="F116" s="11">
        <v>0</v>
      </c>
      <c r="G116" s="11"/>
      <c r="H116" s="11"/>
      <c r="I116" s="32" t="e">
        <f t="shared" si="6"/>
        <v>#DIV/0!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25"/>
      <c r="B117" s="31" t="s">
        <v>97</v>
      </c>
      <c r="C117" s="33">
        <v>292500</v>
      </c>
      <c r="D117" s="25"/>
      <c r="E117" s="11" t="s">
        <v>26</v>
      </c>
      <c r="F117" s="11">
        <v>0</v>
      </c>
      <c r="G117" s="11"/>
      <c r="H117" s="11"/>
      <c r="I117" s="32" t="e">
        <f t="shared" si="6"/>
        <v>#DIV/0!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25"/>
      <c r="B118" s="31" t="s">
        <v>98</v>
      </c>
      <c r="C118" s="29">
        <v>1998</v>
      </c>
      <c r="D118" s="25"/>
      <c r="E118" s="11" t="s">
        <v>29</v>
      </c>
      <c r="F118" s="11">
        <v>0</v>
      </c>
      <c r="G118" s="11"/>
      <c r="H118" s="11"/>
      <c r="I118" s="32" t="e">
        <f t="shared" si="6"/>
        <v>#DIV/0!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25"/>
      <c r="B119" s="31" t="s">
        <v>99</v>
      </c>
      <c r="C119" s="29" t="s">
        <v>113</v>
      </c>
      <c r="D119" s="25"/>
      <c r="E119" s="11" t="s">
        <v>31</v>
      </c>
      <c r="F119" s="11">
        <v>0</v>
      </c>
      <c r="G119" s="11"/>
      <c r="H119" s="11"/>
      <c r="I119" s="32" t="e">
        <f t="shared" si="6"/>
        <v>#DIV/0!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25"/>
      <c r="B120" s="31" t="s">
        <v>101</v>
      </c>
      <c r="C120" s="34" t="s">
        <v>140</v>
      </c>
      <c r="D120" s="25"/>
      <c r="E120" s="11" t="s">
        <v>32</v>
      </c>
      <c r="F120" s="11">
        <v>0</v>
      </c>
      <c r="G120" s="11"/>
      <c r="H120" s="11"/>
      <c r="I120" s="32" t="e">
        <f t="shared" si="6"/>
        <v>#DIV/0!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25"/>
      <c r="B121" s="31" t="s">
        <v>103</v>
      </c>
      <c r="C121" s="34" t="s">
        <v>141</v>
      </c>
      <c r="D121" s="25"/>
      <c r="E121" s="11" t="s">
        <v>35</v>
      </c>
      <c r="F121" s="11">
        <v>0</v>
      </c>
      <c r="G121" s="11"/>
      <c r="H121" s="11"/>
      <c r="I121" s="32" t="e">
        <f t="shared" si="6"/>
        <v>#DIV/0!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25"/>
      <c r="B122" s="31" t="s">
        <v>105</v>
      </c>
      <c r="C122" s="29" t="s">
        <v>142</v>
      </c>
      <c r="D122" s="25"/>
      <c r="E122" s="11" t="s">
        <v>36</v>
      </c>
      <c r="F122" s="11">
        <v>0</v>
      </c>
      <c r="G122" s="11"/>
      <c r="H122" s="11"/>
      <c r="I122" s="32" t="e">
        <f t="shared" si="6"/>
        <v>#DIV/0!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35"/>
      <c r="B123" s="31" t="s">
        <v>33</v>
      </c>
      <c r="C123" s="29">
        <v>3200</v>
      </c>
      <c r="D123" s="24"/>
      <c r="E123" s="11" t="s">
        <v>37</v>
      </c>
      <c r="F123" s="11">
        <v>0</v>
      </c>
      <c r="G123" s="11"/>
      <c r="H123" s="11"/>
      <c r="I123" s="32" t="e">
        <f t="shared" si="6"/>
        <v>#DIV/0!</v>
      </c>
    </row>
    <row r="124" spans="1:26" ht="15.75" customHeight="1" x14ac:dyDescent="0.25">
      <c r="A124" s="35"/>
      <c r="B124" s="31" t="s">
        <v>34</v>
      </c>
      <c r="C124" s="29">
        <v>1600</v>
      </c>
      <c r="D124" s="24"/>
      <c r="E124" s="11" t="s">
        <v>38</v>
      </c>
      <c r="F124" s="11">
        <v>0</v>
      </c>
      <c r="G124" s="11"/>
      <c r="H124" s="11"/>
      <c r="I124" s="32" t="e">
        <f t="shared" si="6"/>
        <v>#DIV/0!</v>
      </c>
    </row>
    <row r="125" spans="1:26" ht="15.75" customHeight="1" x14ac:dyDescent="0.25">
      <c r="A125" s="35"/>
      <c r="B125" s="31" t="s">
        <v>107</v>
      </c>
      <c r="C125" s="29" t="s">
        <v>137</v>
      </c>
      <c r="D125" s="24"/>
      <c r="E125" s="11" t="s">
        <v>39</v>
      </c>
      <c r="F125" s="11">
        <v>0</v>
      </c>
      <c r="G125" s="11"/>
      <c r="H125" s="11"/>
      <c r="I125" s="32" t="e">
        <f t="shared" si="6"/>
        <v>#DIV/0!</v>
      </c>
    </row>
    <row r="126" spans="1:26" ht="15.75" customHeight="1" x14ac:dyDescent="0.25">
      <c r="A126" s="35"/>
      <c r="B126" s="31" t="s">
        <v>109</v>
      </c>
      <c r="C126" s="37"/>
      <c r="D126" s="24"/>
      <c r="E126" s="24"/>
      <c r="F126" s="24"/>
      <c r="G126" s="24"/>
      <c r="H126" s="24"/>
      <c r="I126" s="24"/>
    </row>
    <row r="127" spans="1:26" ht="15.75" customHeight="1" x14ac:dyDescent="0.25">
      <c r="A127" s="35"/>
      <c r="B127" s="31" t="s">
        <v>110</v>
      </c>
      <c r="C127" s="29" t="s">
        <v>138</v>
      </c>
      <c r="D127" s="24"/>
      <c r="E127" s="24"/>
      <c r="F127" s="24"/>
      <c r="G127" s="24"/>
      <c r="H127" s="24"/>
      <c r="I127" s="24"/>
    </row>
    <row r="128" spans="1:26" ht="15.7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</row>
    <row r="129" spans="1:26" ht="15.75" customHeight="1" x14ac:dyDescent="0.25">
      <c r="A129" s="25">
        <v>8</v>
      </c>
      <c r="B129" s="92" t="s">
        <v>91</v>
      </c>
      <c r="C129" s="86"/>
      <c r="D129" s="26"/>
      <c r="E129" s="92" t="s">
        <v>92</v>
      </c>
      <c r="F129" s="85"/>
      <c r="G129" s="85"/>
      <c r="H129" s="85"/>
      <c r="I129" s="8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25.5" customHeight="1" x14ac:dyDescent="0.25">
      <c r="A130" s="27"/>
      <c r="B130" s="28" t="s">
        <v>20</v>
      </c>
      <c r="C130" s="29" t="s">
        <v>68</v>
      </c>
      <c r="D130" s="27"/>
      <c r="E130" s="28" t="s">
        <v>15</v>
      </c>
      <c r="F130" s="28" t="s">
        <v>16</v>
      </c>
      <c r="G130" s="28" t="s">
        <v>93</v>
      </c>
      <c r="H130" s="28" t="s">
        <v>17</v>
      </c>
      <c r="I130" s="28" t="s">
        <v>18</v>
      </c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customHeight="1" x14ac:dyDescent="0.25">
      <c r="A131" s="25"/>
      <c r="B131" s="31" t="s">
        <v>94</v>
      </c>
      <c r="C131" s="29" t="s">
        <v>143</v>
      </c>
      <c r="D131" s="25"/>
      <c r="E131" s="11" t="s">
        <v>19</v>
      </c>
      <c r="F131" s="11">
        <v>0</v>
      </c>
      <c r="G131" s="32"/>
      <c r="H131" s="32"/>
      <c r="I131" s="11" t="e">
        <f t="shared" ref="I131:I142" si="7">(H131-G131)/F131</f>
        <v>#DIV/0!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25"/>
      <c r="B132" s="31" t="s">
        <v>27</v>
      </c>
      <c r="C132" s="29">
        <v>2015</v>
      </c>
      <c r="D132" s="25"/>
      <c r="E132" s="11" t="s">
        <v>22</v>
      </c>
      <c r="F132" s="11">
        <v>38.08</v>
      </c>
      <c r="G132" s="32"/>
      <c r="H132" s="32"/>
      <c r="I132" s="32">
        <f t="shared" si="7"/>
        <v>0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25"/>
      <c r="B133" s="31" t="s">
        <v>21</v>
      </c>
      <c r="C133" s="29" t="s">
        <v>96</v>
      </c>
      <c r="D133" s="25"/>
      <c r="E133" s="11" t="s">
        <v>25</v>
      </c>
      <c r="F133" s="11">
        <v>31.59</v>
      </c>
      <c r="G133" s="11"/>
      <c r="H133" s="11"/>
      <c r="I133" s="32">
        <f t="shared" si="7"/>
        <v>0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25"/>
      <c r="B134" s="31" t="s">
        <v>97</v>
      </c>
      <c r="C134" s="33">
        <v>866000</v>
      </c>
      <c r="D134" s="25"/>
      <c r="E134" s="11" t="s">
        <v>26</v>
      </c>
      <c r="F134" s="11">
        <v>55.22</v>
      </c>
      <c r="G134" s="11"/>
      <c r="H134" s="11"/>
      <c r="I134" s="32">
        <f t="shared" si="7"/>
        <v>0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25"/>
      <c r="B135" s="31" t="s">
        <v>98</v>
      </c>
      <c r="C135" s="29">
        <v>2002</v>
      </c>
      <c r="D135" s="25"/>
      <c r="E135" s="11" t="s">
        <v>29</v>
      </c>
      <c r="F135" s="11">
        <v>0</v>
      </c>
      <c r="G135" s="11"/>
      <c r="H135" s="11"/>
      <c r="I135" s="32" t="e">
        <f t="shared" si="7"/>
        <v>#DIV/0!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25"/>
      <c r="B136" s="31" t="s">
        <v>99</v>
      </c>
      <c r="C136" s="29" t="s">
        <v>113</v>
      </c>
      <c r="D136" s="25"/>
      <c r="E136" s="11" t="s">
        <v>31</v>
      </c>
      <c r="F136" s="11">
        <v>16.43</v>
      </c>
      <c r="G136" s="11"/>
      <c r="H136" s="11"/>
      <c r="I136" s="32">
        <f t="shared" si="7"/>
        <v>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25"/>
      <c r="B137" s="31" t="s">
        <v>101</v>
      </c>
      <c r="C137" s="34" t="s">
        <v>144</v>
      </c>
      <c r="D137" s="25"/>
      <c r="E137" s="11" t="s">
        <v>32</v>
      </c>
      <c r="F137" s="11">
        <v>31.3</v>
      </c>
      <c r="G137" s="11"/>
      <c r="H137" s="11"/>
      <c r="I137" s="32">
        <f t="shared" si="7"/>
        <v>0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25"/>
      <c r="B138" s="31" t="s">
        <v>103</v>
      </c>
      <c r="C138" s="34" t="s">
        <v>145</v>
      </c>
      <c r="D138" s="25"/>
      <c r="E138" s="11" t="s">
        <v>35</v>
      </c>
      <c r="F138" s="11">
        <v>0</v>
      </c>
      <c r="G138" s="11"/>
      <c r="H138" s="11"/>
      <c r="I138" s="32" t="e">
        <f t="shared" si="7"/>
        <v>#DIV/0!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25"/>
      <c r="B139" s="31" t="s">
        <v>105</v>
      </c>
      <c r="C139" s="34" t="s">
        <v>146</v>
      </c>
      <c r="D139" s="25"/>
      <c r="E139" s="11" t="s">
        <v>36</v>
      </c>
      <c r="F139" s="11">
        <v>43.25</v>
      </c>
      <c r="G139" s="11"/>
      <c r="H139" s="11"/>
      <c r="I139" s="32">
        <f t="shared" si="7"/>
        <v>0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35"/>
      <c r="B140" s="31" t="s">
        <v>33</v>
      </c>
      <c r="C140" s="29">
        <v>2953</v>
      </c>
      <c r="D140" s="24"/>
      <c r="E140" s="11" t="s">
        <v>37</v>
      </c>
      <c r="F140" s="11">
        <v>0</v>
      </c>
      <c r="G140" s="11"/>
      <c r="H140" s="11"/>
      <c r="I140" s="32" t="e">
        <f t="shared" si="7"/>
        <v>#DIV/0!</v>
      </c>
    </row>
    <row r="141" spans="1:26" ht="15.75" customHeight="1" x14ac:dyDescent="0.25">
      <c r="A141" s="35"/>
      <c r="B141" s="31" t="s">
        <v>34</v>
      </c>
      <c r="C141" s="29">
        <v>2113</v>
      </c>
      <c r="D141" s="24"/>
      <c r="E141" s="11" t="s">
        <v>38</v>
      </c>
      <c r="F141" s="11">
        <v>44.19</v>
      </c>
      <c r="G141" s="11"/>
      <c r="H141" s="11"/>
      <c r="I141" s="32">
        <f t="shared" si="7"/>
        <v>0</v>
      </c>
    </row>
    <row r="142" spans="1:26" ht="15.75" customHeight="1" x14ac:dyDescent="0.25">
      <c r="A142" s="35"/>
      <c r="B142" s="31" t="s">
        <v>107</v>
      </c>
      <c r="C142" s="29" t="s">
        <v>137</v>
      </c>
      <c r="D142" s="24"/>
      <c r="E142" s="11" t="s">
        <v>39</v>
      </c>
      <c r="F142" s="11">
        <v>25.54</v>
      </c>
      <c r="G142" s="11"/>
      <c r="H142" s="11"/>
      <c r="I142" s="32">
        <f t="shared" si="7"/>
        <v>0</v>
      </c>
    </row>
    <row r="143" spans="1:26" ht="15.75" customHeight="1" x14ac:dyDescent="0.25">
      <c r="A143" s="35"/>
      <c r="B143" s="31" t="s">
        <v>109</v>
      </c>
      <c r="C143" s="37"/>
      <c r="D143" s="24"/>
      <c r="E143" s="24"/>
      <c r="F143" s="24"/>
      <c r="G143" s="24"/>
      <c r="H143" s="24"/>
      <c r="I143" s="24"/>
    </row>
    <row r="144" spans="1:26" ht="15.75" customHeight="1" x14ac:dyDescent="0.25">
      <c r="A144" s="35"/>
      <c r="B144" s="31" t="s">
        <v>110</v>
      </c>
      <c r="C144" s="29" t="s">
        <v>138</v>
      </c>
      <c r="D144" s="24"/>
      <c r="E144" s="24"/>
      <c r="F144" s="24"/>
      <c r="G144" s="24"/>
      <c r="H144" s="24"/>
      <c r="I144" s="24"/>
    </row>
    <row r="145" spans="1:26" ht="15.7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</row>
    <row r="146" spans="1:26" ht="15.75" customHeight="1" x14ac:dyDescent="0.25">
      <c r="A146" s="25">
        <v>9</v>
      </c>
      <c r="B146" s="92" t="s">
        <v>91</v>
      </c>
      <c r="C146" s="86"/>
      <c r="D146" s="26"/>
      <c r="E146" s="92" t="s">
        <v>92</v>
      </c>
      <c r="F146" s="85"/>
      <c r="G146" s="85"/>
      <c r="H146" s="85"/>
      <c r="I146" s="8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25.5" customHeight="1" x14ac:dyDescent="0.25">
      <c r="A147" s="27"/>
      <c r="B147" s="28" t="s">
        <v>20</v>
      </c>
      <c r="C147" s="29" t="s">
        <v>72</v>
      </c>
      <c r="D147" s="27"/>
      <c r="E147" s="28" t="s">
        <v>15</v>
      </c>
      <c r="F147" s="28" t="s">
        <v>16</v>
      </c>
      <c r="G147" s="28" t="s">
        <v>93</v>
      </c>
      <c r="H147" s="28" t="s">
        <v>17</v>
      </c>
      <c r="I147" s="28" t="s">
        <v>18</v>
      </c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 x14ac:dyDescent="0.25">
      <c r="A148" s="25"/>
      <c r="B148" s="31" t="s">
        <v>94</v>
      </c>
      <c r="C148" s="29" t="s">
        <v>147</v>
      </c>
      <c r="D148" s="25"/>
      <c r="E148" s="11" t="s">
        <v>19</v>
      </c>
      <c r="F148" s="11">
        <v>690.69</v>
      </c>
      <c r="G148" s="32"/>
      <c r="H148" s="32"/>
      <c r="I148" s="11">
        <f t="shared" ref="I148:I159" si="8">(H148-G148)/F148</f>
        <v>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25"/>
      <c r="B149" s="31" t="s">
        <v>27</v>
      </c>
      <c r="C149" s="29">
        <v>2020</v>
      </c>
      <c r="D149" s="25"/>
      <c r="E149" s="11" t="s">
        <v>22</v>
      </c>
      <c r="F149" s="11">
        <v>112.45</v>
      </c>
      <c r="G149" s="32"/>
      <c r="H149" s="32"/>
      <c r="I149" s="32">
        <f t="shared" si="8"/>
        <v>0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25"/>
      <c r="B150" s="31" t="s">
        <v>21</v>
      </c>
      <c r="C150" s="29" t="s">
        <v>96</v>
      </c>
      <c r="D150" s="25"/>
      <c r="E150" s="11" t="s">
        <v>25</v>
      </c>
      <c r="F150" s="11">
        <v>477.75</v>
      </c>
      <c r="G150" s="11"/>
      <c r="H150" s="11"/>
      <c r="I150" s="32">
        <f t="shared" si="8"/>
        <v>0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25"/>
      <c r="B151" s="31" t="s">
        <v>97</v>
      </c>
      <c r="C151" s="33">
        <v>1683333</v>
      </c>
      <c r="D151" s="25"/>
      <c r="E151" s="11" t="s">
        <v>26</v>
      </c>
      <c r="F151" s="11">
        <v>813.55</v>
      </c>
      <c r="G151" s="11"/>
      <c r="H151" s="11"/>
      <c r="I151" s="32">
        <f t="shared" si="8"/>
        <v>0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25"/>
      <c r="B152" s="31" t="s">
        <v>98</v>
      </c>
      <c r="C152" s="29">
        <v>2022</v>
      </c>
      <c r="D152" s="25"/>
      <c r="E152" s="11" t="s">
        <v>29</v>
      </c>
      <c r="F152" s="11">
        <v>730.56</v>
      </c>
      <c r="G152" s="11"/>
      <c r="H152" s="11"/>
      <c r="I152" s="32">
        <f t="shared" si="8"/>
        <v>0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25"/>
      <c r="B153" s="31" t="s">
        <v>99</v>
      </c>
      <c r="C153" s="29" t="s">
        <v>113</v>
      </c>
      <c r="D153" s="25"/>
      <c r="E153" s="11" t="s">
        <v>31</v>
      </c>
      <c r="F153" s="11">
        <v>504.29</v>
      </c>
      <c r="G153" s="11"/>
      <c r="H153" s="11"/>
      <c r="I153" s="32">
        <f t="shared" si="8"/>
        <v>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25"/>
      <c r="B154" s="31" t="s">
        <v>101</v>
      </c>
      <c r="C154" s="34" t="s">
        <v>148</v>
      </c>
      <c r="D154" s="25"/>
      <c r="E154" s="11" t="s">
        <v>32</v>
      </c>
      <c r="F154" s="11">
        <v>563.78</v>
      </c>
      <c r="G154" s="11"/>
      <c r="H154" s="11"/>
      <c r="I154" s="32">
        <f t="shared" si="8"/>
        <v>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25"/>
      <c r="B155" s="31" t="s">
        <v>103</v>
      </c>
      <c r="C155" s="34" t="s">
        <v>149</v>
      </c>
      <c r="D155" s="25"/>
      <c r="E155" s="11" t="s">
        <v>35</v>
      </c>
      <c r="F155" s="11">
        <v>470.96</v>
      </c>
      <c r="G155" s="11"/>
      <c r="H155" s="11"/>
      <c r="I155" s="32">
        <f t="shared" si="8"/>
        <v>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25"/>
      <c r="B156" s="31" t="s">
        <v>105</v>
      </c>
      <c r="C156" s="34" t="s">
        <v>150</v>
      </c>
      <c r="D156" s="25"/>
      <c r="E156" s="11" t="s">
        <v>36</v>
      </c>
      <c r="F156" s="11">
        <v>463.15</v>
      </c>
      <c r="G156" s="11"/>
      <c r="H156" s="11"/>
      <c r="I156" s="32">
        <f t="shared" si="8"/>
        <v>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35"/>
      <c r="B157" s="31" t="s">
        <v>33</v>
      </c>
      <c r="C157" s="29">
        <v>3400</v>
      </c>
      <c r="D157" s="24"/>
      <c r="E157" s="11" t="s">
        <v>37</v>
      </c>
      <c r="F157" s="11">
        <v>386.08</v>
      </c>
      <c r="G157" s="11"/>
      <c r="H157" s="11"/>
      <c r="I157" s="32">
        <f t="shared" si="8"/>
        <v>0</v>
      </c>
    </row>
    <row r="158" spans="1:26" ht="15.75" customHeight="1" x14ac:dyDescent="0.25">
      <c r="A158" s="35"/>
      <c r="B158" s="31" t="s">
        <v>34</v>
      </c>
      <c r="C158" s="29">
        <v>1700</v>
      </c>
      <c r="D158" s="24"/>
      <c r="E158" s="11" t="s">
        <v>38</v>
      </c>
      <c r="F158" s="11">
        <v>494.08</v>
      </c>
      <c r="G158" s="11"/>
      <c r="H158" s="11"/>
      <c r="I158" s="32">
        <f t="shared" si="8"/>
        <v>0</v>
      </c>
    </row>
    <row r="159" spans="1:26" ht="15.75" customHeight="1" x14ac:dyDescent="0.25">
      <c r="A159" s="35"/>
      <c r="B159" s="31" t="s">
        <v>107</v>
      </c>
      <c r="C159" s="36" t="s">
        <v>117</v>
      </c>
      <c r="D159" s="24"/>
      <c r="E159" s="11" t="s">
        <v>39</v>
      </c>
      <c r="F159" s="11">
        <v>358.12</v>
      </c>
      <c r="G159" s="11"/>
      <c r="H159" s="11"/>
      <c r="I159" s="32">
        <f t="shared" si="8"/>
        <v>0</v>
      </c>
    </row>
    <row r="160" spans="1:26" ht="15.75" customHeight="1" x14ac:dyDescent="0.25">
      <c r="A160" s="35"/>
      <c r="B160" s="31" t="s">
        <v>109</v>
      </c>
      <c r="C160" s="37">
        <v>229959</v>
      </c>
      <c r="D160" s="24"/>
      <c r="E160" s="24"/>
      <c r="F160" s="24"/>
      <c r="G160" s="24"/>
      <c r="H160" s="24"/>
      <c r="I160" s="24"/>
    </row>
    <row r="161" spans="1:26" ht="15.75" customHeight="1" x14ac:dyDescent="0.25">
      <c r="A161" s="35"/>
      <c r="B161" s="31" t="s">
        <v>110</v>
      </c>
      <c r="C161" s="38" t="s">
        <v>128</v>
      </c>
      <c r="D161" s="24"/>
      <c r="E161" s="24"/>
      <c r="F161" s="24"/>
      <c r="G161" s="24"/>
      <c r="H161" s="24"/>
      <c r="I161" s="24"/>
    </row>
    <row r="162" spans="1:26" ht="15.7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</row>
    <row r="163" spans="1:26" ht="15.75" customHeight="1" x14ac:dyDescent="0.25">
      <c r="A163" s="25">
        <v>10</v>
      </c>
      <c r="B163" s="92" t="s">
        <v>91</v>
      </c>
      <c r="C163" s="86"/>
      <c r="D163" s="26"/>
      <c r="E163" s="92" t="s">
        <v>92</v>
      </c>
      <c r="F163" s="85"/>
      <c r="G163" s="85"/>
      <c r="H163" s="85"/>
      <c r="I163" s="8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25.5" customHeight="1" x14ac:dyDescent="0.25">
      <c r="A164" s="27"/>
      <c r="B164" s="28" t="s">
        <v>20</v>
      </c>
      <c r="C164" s="29" t="s">
        <v>75</v>
      </c>
      <c r="D164" s="27"/>
      <c r="E164" s="28" t="s">
        <v>15</v>
      </c>
      <c r="F164" s="28" t="s">
        <v>16</v>
      </c>
      <c r="G164" s="28" t="s">
        <v>93</v>
      </c>
      <c r="H164" s="28" t="s">
        <v>17</v>
      </c>
      <c r="I164" s="28" t="s">
        <v>18</v>
      </c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 x14ac:dyDescent="0.25">
      <c r="A165" s="25"/>
      <c r="B165" s="31" t="s">
        <v>94</v>
      </c>
      <c r="C165" s="29" t="s">
        <v>151</v>
      </c>
      <c r="D165" s="25"/>
      <c r="E165" s="11" t="s">
        <v>19</v>
      </c>
      <c r="F165" s="11">
        <v>260.97000000000003</v>
      </c>
      <c r="G165" s="32"/>
      <c r="H165" s="32"/>
      <c r="I165" s="11">
        <f t="shared" ref="I165:I176" si="9">(H165-G165)/F165</f>
        <v>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25"/>
      <c r="B166" s="31" t="s">
        <v>27</v>
      </c>
      <c r="C166" s="29"/>
      <c r="D166" s="25"/>
      <c r="E166" s="11" t="s">
        <v>22</v>
      </c>
      <c r="F166" s="11">
        <v>387.47</v>
      </c>
      <c r="G166" s="32"/>
      <c r="H166" s="32"/>
      <c r="I166" s="32">
        <f t="shared" si="9"/>
        <v>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25"/>
      <c r="B167" s="31" t="s">
        <v>21</v>
      </c>
      <c r="C167" s="29" t="s">
        <v>96</v>
      </c>
      <c r="D167" s="25"/>
      <c r="E167" s="11" t="s">
        <v>25</v>
      </c>
      <c r="F167" s="11">
        <v>193.15</v>
      </c>
      <c r="G167" s="11"/>
      <c r="H167" s="11"/>
      <c r="I167" s="32">
        <f t="shared" si="9"/>
        <v>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25"/>
      <c r="B168" s="31" t="s">
        <v>97</v>
      </c>
      <c r="C168" s="33">
        <v>124691.99</v>
      </c>
      <c r="D168" s="25"/>
      <c r="E168" s="11" t="s">
        <v>26</v>
      </c>
      <c r="F168" s="11">
        <v>302.95</v>
      </c>
      <c r="G168" s="11"/>
      <c r="H168" s="11"/>
      <c r="I168" s="32">
        <f t="shared" si="9"/>
        <v>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25"/>
      <c r="B169" s="31" t="s">
        <v>98</v>
      </c>
      <c r="C169" s="29">
        <v>2009</v>
      </c>
      <c r="D169" s="25"/>
      <c r="E169" s="11" t="s">
        <v>29</v>
      </c>
      <c r="F169" s="11">
        <v>366.62</v>
      </c>
      <c r="G169" s="11"/>
      <c r="H169" s="11"/>
      <c r="I169" s="32">
        <f t="shared" si="9"/>
        <v>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25"/>
      <c r="B170" s="31" t="s">
        <v>99</v>
      </c>
      <c r="C170" s="29" t="s">
        <v>113</v>
      </c>
      <c r="D170" s="25"/>
      <c r="E170" s="11" t="s">
        <v>31</v>
      </c>
      <c r="F170" s="11">
        <v>0</v>
      </c>
      <c r="G170" s="11"/>
      <c r="H170" s="11"/>
      <c r="I170" s="32" t="e">
        <f t="shared" si="9"/>
        <v>#DIV/0!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25"/>
      <c r="B171" s="31" t="s">
        <v>101</v>
      </c>
      <c r="C171" s="34" t="s">
        <v>152</v>
      </c>
      <c r="D171" s="25"/>
      <c r="E171" s="11" t="s">
        <v>32</v>
      </c>
      <c r="F171" s="11">
        <v>129.97</v>
      </c>
      <c r="G171" s="11"/>
      <c r="H171" s="11"/>
      <c r="I171" s="32">
        <f t="shared" si="9"/>
        <v>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25"/>
      <c r="B172" s="31" t="s">
        <v>103</v>
      </c>
      <c r="C172" s="34" t="s">
        <v>153</v>
      </c>
      <c r="D172" s="25"/>
      <c r="E172" s="11" t="s">
        <v>35</v>
      </c>
      <c r="F172" s="11">
        <v>258.47000000000003</v>
      </c>
      <c r="G172" s="11"/>
      <c r="H172" s="11"/>
      <c r="I172" s="32">
        <f t="shared" si="9"/>
        <v>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25"/>
      <c r="B173" s="31" t="s">
        <v>105</v>
      </c>
      <c r="C173" s="34" t="s">
        <v>154</v>
      </c>
      <c r="D173" s="25"/>
      <c r="E173" s="11" t="s">
        <v>36</v>
      </c>
      <c r="F173" s="11">
        <v>27.92</v>
      </c>
      <c r="G173" s="11"/>
      <c r="H173" s="11"/>
      <c r="I173" s="32">
        <f t="shared" si="9"/>
        <v>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35"/>
      <c r="B174" s="31" t="s">
        <v>33</v>
      </c>
      <c r="C174" s="29">
        <v>3200</v>
      </c>
      <c r="D174" s="24"/>
      <c r="E174" s="11" t="s">
        <v>37</v>
      </c>
      <c r="F174" s="11">
        <v>58.07</v>
      </c>
      <c r="G174" s="11"/>
      <c r="H174" s="11"/>
      <c r="I174" s="32">
        <f t="shared" si="9"/>
        <v>0</v>
      </c>
    </row>
    <row r="175" spans="1:26" ht="15.75" customHeight="1" x14ac:dyDescent="0.25">
      <c r="A175" s="35"/>
      <c r="B175" s="31" t="s">
        <v>34</v>
      </c>
      <c r="C175" s="29">
        <v>1600</v>
      </c>
      <c r="D175" s="24"/>
      <c r="E175" s="11" t="s">
        <v>38</v>
      </c>
      <c r="F175" s="11">
        <v>43.65</v>
      </c>
      <c r="G175" s="11"/>
      <c r="H175" s="11"/>
      <c r="I175" s="32">
        <f t="shared" si="9"/>
        <v>0</v>
      </c>
    </row>
    <row r="176" spans="1:26" ht="15.75" customHeight="1" x14ac:dyDescent="0.25">
      <c r="A176" s="35"/>
      <c r="B176" s="31" t="s">
        <v>107</v>
      </c>
      <c r="C176" s="36" t="s">
        <v>117</v>
      </c>
      <c r="D176" s="24"/>
      <c r="E176" s="11" t="s">
        <v>39</v>
      </c>
      <c r="F176" s="11">
        <v>0</v>
      </c>
      <c r="G176" s="11"/>
      <c r="H176" s="11"/>
      <c r="I176" s="32" t="e">
        <f t="shared" si="9"/>
        <v>#DIV/0!</v>
      </c>
    </row>
    <row r="177" spans="1:9" ht="15.75" customHeight="1" x14ac:dyDescent="0.25">
      <c r="A177" s="35"/>
      <c r="B177" s="31" t="s">
        <v>109</v>
      </c>
      <c r="C177" s="37"/>
      <c r="D177" s="24"/>
      <c r="E177" s="24"/>
      <c r="F177" s="24"/>
      <c r="G177" s="24"/>
      <c r="H177" s="24"/>
      <c r="I177" s="24"/>
    </row>
    <row r="178" spans="1:9" ht="15.75" customHeight="1" x14ac:dyDescent="0.25">
      <c r="A178" s="35"/>
      <c r="B178" s="31" t="s">
        <v>110</v>
      </c>
      <c r="C178" s="29" t="s">
        <v>87</v>
      </c>
      <c r="D178" s="24"/>
      <c r="E178" s="24"/>
      <c r="F178" s="24"/>
      <c r="G178" s="24"/>
      <c r="H178" s="24"/>
      <c r="I178" s="24"/>
    </row>
    <row r="179" spans="1:9" ht="15.7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</row>
    <row r="180" spans="1:9" ht="15.7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</row>
    <row r="181" spans="1:9" ht="15.7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</row>
    <row r="182" spans="1:9" ht="15.7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</row>
    <row r="183" spans="1:9" ht="15.75" customHeight="1" x14ac:dyDescent="0.25"/>
    <row r="184" spans="1:9" ht="15.75" customHeight="1" x14ac:dyDescent="0.25"/>
    <row r="185" spans="1:9" ht="15.75" customHeight="1" x14ac:dyDescent="0.25"/>
    <row r="186" spans="1:9" ht="15.75" customHeight="1" x14ac:dyDescent="0.25"/>
    <row r="187" spans="1:9" ht="15.75" customHeight="1" x14ac:dyDescent="0.25"/>
    <row r="188" spans="1:9" ht="15.75" customHeight="1" x14ac:dyDescent="0.25"/>
    <row r="189" spans="1:9" ht="15.75" customHeight="1" x14ac:dyDescent="0.25"/>
    <row r="190" spans="1:9" ht="15.75" customHeight="1" x14ac:dyDescent="0.25"/>
    <row r="191" spans="1:9" ht="15.75" customHeight="1" x14ac:dyDescent="0.25"/>
    <row r="192" spans="1:9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</sheetData>
  <mergeCells count="23">
    <mergeCell ref="B78:C78"/>
    <mergeCell ref="E78:I78"/>
    <mergeCell ref="E95:I95"/>
    <mergeCell ref="B163:C163"/>
    <mergeCell ref="E163:I163"/>
    <mergeCell ref="B95:C95"/>
    <mergeCell ref="B112:C112"/>
    <mergeCell ref="E112:I112"/>
    <mergeCell ref="B129:C129"/>
    <mergeCell ref="E129:I129"/>
    <mergeCell ref="B146:C146"/>
    <mergeCell ref="E146:I146"/>
    <mergeCell ref="B27:C27"/>
    <mergeCell ref="E27:I27"/>
    <mergeCell ref="B44:C44"/>
    <mergeCell ref="E44:I44"/>
    <mergeCell ref="B61:C61"/>
    <mergeCell ref="E61:I61"/>
    <mergeCell ref="A3:I3"/>
    <mergeCell ref="A4:I4"/>
    <mergeCell ref="A5:I5"/>
    <mergeCell ref="B10:C10"/>
    <mergeCell ref="E10:I10"/>
  </mergeCells>
  <pageMargins left="0.51181102362204722" right="0.51181102362204722" top="0.51181102362204722" bottom="0.39370078740157483" header="0" footer="0"/>
  <pageSetup paperSize="14" scale="93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81"/>
  <sheetViews>
    <sheetView tabSelected="1" topLeftCell="F1" workbookViewId="0">
      <selection activeCell="O6" sqref="O6"/>
    </sheetView>
  </sheetViews>
  <sheetFormatPr defaultColWidth="14.42578125" defaultRowHeight="15" customHeight="1" x14ac:dyDescent="0.25"/>
  <cols>
    <col min="1" max="1" width="4.85546875" customWidth="1"/>
    <col min="2" max="2" width="10.28515625" customWidth="1"/>
    <col min="3" max="3" width="26.7109375" customWidth="1"/>
    <col min="4" max="4" width="8.42578125" customWidth="1"/>
    <col min="5" max="5" width="11" customWidth="1"/>
    <col min="6" max="6" width="15.28515625" customWidth="1"/>
    <col min="7" max="7" width="13.42578125" customWidth="1"/>
    <col min="9" max="9" width="23.85546875" customWidth="1"/>
    <col min="10" max="10" width="22.140625" customWidth="1"/>
    <col min="11" max="11" width="19.28515625" customWidth="1"/>
    <col min="12" max="12" width="10.85546875" customWidth="1"/>
    <col min="13" max="13" width="9.140625" customWidth="1"/>
    <col min="14" max="14" width="16.7109375" customWidth="1"/>
    <col min="15" max="15" width="14" customWidth="1"/>
    <col min="16" max="16" width="21.85546875" customWidth="1"/>
    <col min="17" max="20" width="8" customWidth="1"/>
  </cols>
  <sheetData>
    <row r="1" spans="1:26" x14ac:dyDescent="0.25">
      <c r="F1" s="56"/>
      <c r="P1" s="1" t="s">
        <v>78</v>
      </c>
      <c r="S1" s="2"/>
      <c r="T1" s="2"/>
    </row>
    <row r="2" spans="1:26" x14ac:dyDescent="0.25">
      <c r="F2" s="56"/>
      <c r="P2" s="1" t="s">
        <v>155</v>
      </c>
      <c r="R2" s="2"/>
      <c r="S2" s="2"/>
      <c r="T2" s="2"/>
    </row>
    <row r="3" spans="1:26" ht="18" customHeight="1" x14ac:dyDescent="0.25">
      <c r="A3" s="87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R3" s="3"/>
    </row>
    <row r="4" spans="1:26" ht="15.75" customHeight="1" x14ac:dyDescent="0.25">
      <c r="A4" s="89" t="s">
        <v>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R4" s="4"/>
    </row>
    <row r="5" spans="1:26" x14ac:dyDescent="0.25">
      <c r="A5" s="90" t="s">
        <v>4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R5" s="6"/>
    </row>
    <row r="6" spans="1:26" x14ac:dyDescent="0.25">
      <c r="F6" s="56"/>
      <c r="N6" s="7"/>
      <c r="O6" s="1"/>
    </row>
    <row r="7" spans="1:26" x14ac:dyDescent="0.25">
      <c r="A7" s="1" t="s">
        <v>156</v>
      </c>
      <c r="F7" s="56"/>
      <c r="O7" s="1" t="s">
        <v>8</v>
      </c>
    </row>
    <row r="8" spans="1:26" x14ac:dyDescent="0.25">
      <c r="A8" s="1" t="s">
        <v>157</v>
      </c>
      <c r="F8" s="56"/>
    </row>
    <row r="9" spans="1:26" x14ac:dyDescent="0.25">
      <c r="A9" s="1"/>
      <c r="F9" s="56"/>
      <c r="I9" s="1"/>
    </row>
    <row r="10" spans="1:26" ht="51.75" customHeight="1" x14ac:dyDescent="0.25">
      <c r="A10" s="57"/>
      <c r="B10" s="18" t="s">
        <v>20</v>
      </c>
      <c r="C10" s="18" t="s">
        <v>94</v>
      </c>
      <c r="D10" s="18" t="s">
        <v>27</v>
      </c>
      <c r="E10" s="18" t="s">
        <v>21</v>
      </c>
      <c r="F10" s="58" t="s">
        <v>97</v>
      </c>
      <c r="G10" s="18" t="s">
        <v>98</v>
      </c>
      <c r="H10" s="18" t="s">
        <v>99</v>
      </c>
      <c r="I10" s="18" t="s">
        <v>101</v>
      </c>
      <c r="J10" s="18" t="s">
        <v>103</v>
      </c>
      <c r="K10" s="18" t="s">
        <v>105</v>
      </c>
      <c r="L10" s="18" t="s">
        <v>33</v>
      </c>
      <c r="M10" s="18" t="s">
        <v>34</v>
      </c>
      <c r="N10" s="18" t="s">
        <v>107</v>
      </c>
      <c r="O10" s="18" t="s">
        <v>109</v>
      </c>
      <c r="P10" s="18" t="s">
        <v>110</v>
      </c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25.5" customHeight="1" x14ac:dyDescent="0.25">
      <c r="A11" s="59"/>
      <c r="B11" s="60" t="s">
        <v>23</v>
      </c>
      <c r="C11" s="60" t="s">
        <v>95</v>
      </c>
      <c r="D11" s="60">
        <v>2013</v>
      </c>
      <c r="E11" s="60" t="s">
        <v>96</v>
      </c>
      <c r="F11" s="61">
        <v>1546000</v>
      </c>
      <c r="G11" s="60">
        <v>2014</v>
      </c>
      <c r="H11" s="60" t="s">
        <v>100</v>
      </c>
      <c r="I11" s="62" t="s">
        <v>102</v>
      </c>
      <c r="J11" s="62" t="s">
        <v>104</v>
      </c>
      <c r="K11" s="62" t="s">
        <v>106</v>
      </c>
      <c r="L11" s="62">
        <v>2385</v>
      </c>
      <c r="M11" s="62">
        <v>1160</v>
      </c>
      <c r="N11" s="60" t="s">
        <v>108</v>
      </c>
      <c r="O11" s="21">
        <v>380981</v>
      </c>
      <c r="P11" s="63" t="s">
        <v>111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25">
      <c r="A12" s="6"/>
      <c r="B12" s="60" t="s">
        <v>43</v>
      </c>
      <c r="C12" s="60" t="s">
        <v>112</v>
      </c>
      <c r="D12" s="60">
        <v>2004</v>
      </c>
      <c r="E12" s="60" t="s">
        <v>96</v>
      </c>
      <c r="F12" s="61">
        <v>130696.06</v>
      </c>
      <c r="G12" s="60">
        <v>2018</v>
      </c>
      <c r="H12" s="60" t="s">
        <v>113</v>
      </c>
      <c r="I12" s="62" t="s">
        <v>114</v>
      </c>
      <c r="J12" s="62" t="s">
        <v>115</v>
      </c>
      <c r="K12" s="62" t="s">
        <v>116</v>
      </c>
      <c r="L12" s="62">
        <v>2210</v>
      </c>
      <c r="M12" s="62">
        <v>1105</v>
      </c>
      <c r="N12" s="60" t="s">
        <v>117</v>
      </c>
      <c r="O12" s="64" t="s">
        <v>87</v>
      </c>
      <c r="P12" s="65" t="s">
        <v>118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25">
      <c r="A13" s="6"/>
      <c r="B13" s="60" t="s">
        <v>47</v>
      </c>
      <c r="C13" s="60" t="s">
        <v>119</v>
      </c>
      <c r="D13" s="60">
        <v>1994</v>
      </c>
      <c r="E13" s="60" t="s">
        <v>96</v>
      </c>
      <c r="F13" s="61">
        <v>344333.44</v>
      </c>
      <c r="G13" s="60">
        <v>2022</v>
      </c>
      <c r="H13" s="60" t="s">
        <v>113</v>
      </c>
      <c r="I13" s="62" t="s">
        <v>120</v>
      </c>
      <c r="J13" s="62" t="s">
        <v>121</v>
      </c>
      <c r="K13" s="62" t="s">
        <v>122</v>
      </c>
      <c r="L13" s="62">
        <v>2700</v>
      </c>
      <c r="M13" s="62">
        <v>1350</v>
      </c>
      <c r="N13" s="60" t="s">
        <v>117</v>
      </c>
      <c r="O13" s="64" t="s">
        <v>87</v>
      </c>
      <c r="P13" s="63" t="s">
        <v>123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25">
      <c r="A14" s="6"/>
      <c r="B14" s="60" t="s">
        <v>52</v>
      </c>
      <c r="C14" s="60" t="s">
        <v>124</v>
      </c>
      <c r="D14" s="60">
        <v>2024</v>
      </c>
      <c r="E14" s="60" t="s">
        <v>96</v>
      </c>
      <c r="F14" s="61">
        <v>5500000</v>
      </c>
      <c r="G14" s="60">
        <v>2024</v>
      </c>
      <c r="H14" s="60" t="s">
        <v>113</v>
      </c>
      <c r="I14" s="62" t="s">
        <v>125</v>
      </c>
      <c r="J14" s="62" t="s">
        <v>126</v>
      </c>
      <c r="K14" s="62" t="s">
        <v>127</v>
      </c>
      <c r="L14" s="60">
        <v>10000</v>
      </c>
      <c r="M14" s="60">
        <v>5000</v>
      </c>
      <c r="N14" s="60" t="s">
        <v>117</v>
      </c>
      <c r="O14" s="64">
        <v>4880</v>
      </c>
      <c r="P14" s="63" t="s">
        <v>128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25">
      <c r="A15" s="6"/>
      <c r="B15" s="60" t="s">
        <v>56</v>
      </c>
      <c r="C15" s="60" t="s">
        <v>129</v>
      </c>
      <c r="D15" s="60">
        <v>2024</v>
      </c>
      <c r="E15" s="60" t="s">
        <v>96</v>
      </c>
      <c r="F15" s="61">
        <v>4000000</v>
      </c>
      <c r="G15" s="60">
        <v>2024</v>
      </c>
      <c r="H15" s="60" t="s">
        <v>113</v>
      </c>
      <c r="I15" s="62" t="s">
        <v>130</v>
      </c>
      <c r="J15" s="62" t="s">
        <v>131</v>
      </c>
      <c r="K15" s="62" t="s">
        <v>132</v>
      </c>
      <c r="L15" s="60">
        <v>10000</v>
      </c>
      <c r="M15" s="60">
        <v>5000</v>
      </c>
      <c r="N15" s="60" t="s">
        <v>117</v>
      </c>
      <c r="O15" s="64">
        <v>4378</v>
      </c>
      <c r="P15" s="63" t="s">
        <v>128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25">
      <c r="A16" s="6"/>
      <c r="B16" s="60" t="s">
        <v>60</v>
      </c>
      <c r="C16" s="60" t="s">
        <v>133</v>
      </c>
      <c r="D16" s="60">
        <v>2002</v>
      </c>
      <c r="E16" s="60" t="s">
        <v>96</v>
      </c>
      <c r="F16" s="61">
        <v>733000</v>
      </c>
      <c r="G16" s="60">
        <v>2002</v>
      </c>
      <c r="H16" s="60" t="s">
        <v>113</v>
      </c>
      <c r="I16" s="62" t="s">
        <v>134</v>
      </c>
      <c r="J16" s="62" t="s">
        <v>135</v>
      </c>
      <c r="K16" s="60" t="s">
        <v>136</v>
      </c>
      <c r="L16" s="60">
        <v>2700</v>
      </c>
      <c r="M16" s="60">
        <v>1350</v>
      </c>
      <c r="N16" s="60" t="s">
        <v>117</v>
      </c>
      <c r="O16" s="64" t="s">
        <v>87</v>
      </c>
      <c r="P16" s="63" t="s">
        <v>138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25">
      <c r="A17" s="6"/>
      <c r="B17" s="60" t="s">
        <v>64</v>
      </c>
      <c r="C17" s="60" t="s">
        <v>139</v>
      </c>
      <c r="D17" s="60">
        <v>1998</v>
      </c>
      <c r="E17" s="60" t="s">
        <v>96</v>
      </c>
      <c r="F17" s="61">
        <v>292500</v>
      </c>
      <c r="G17" s="60">
        <v>1998</v>
      </c>
      <c r="H17" s="60" t="s">
        <v>113</v>
      </c>
      <c r="I17" s="62" t="s">
        <v>140</v>
      </c>
      <c r="J17" s="62" t="s">
        <v>141</v>
      </c>
      <c r="K17" s="60" t="s">
        <v>142</v>
      </c>
      <c r="L17" s="60">
        <v>3200</v>
      </c>
      <c r="M17" s="60">
        <v>1600</v>
      </c>
      <c r="N17" s="60" t="s">
        <v>117</v>
      </c>
      <c r="O17" s="64" t="s">
        <v>87</v>
      </c>
      <c r="P17" s="63" t="s">
        <v>138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25">
      <c r="A18" s="6"/>
      <c r="B18" s="60" t="s">
        <v>68</v>
      </c>
      <c r="C18" s="60" t="s">
        <v>143</v>
      </c>
      <c r="D18" s="60">
        <v>2015</v>
      </c>
      <c r="E18" s="60" t="s">
        <v>96</v>
      </c>
      <c r="F18" s="61">
        <v>866000</v>
      </c>
      <c r="G18" s="60">
        <v>2002</v>
      </c>
      <c r="H18" s="60" t="s">
        <v>113</v>
      </c>
      <c r="I18" s="62" t="s">
        <v>144</v>
      </c>
      <c r="J18" s="62" t="s">
        <v>145</v>
      </c>
      <c r="K18" s="62" t="s">
        <v>146</v>
      </c>
      <c r="L18" s="60">
        <v>2953</v>
      </c>
      <c r="M18" s="60">
        <v>2113</v>
      </c>
      <c r="N18" s="60" t="s">
        <v>117</v>
      </c>
      <c r="O18" s="64" t="s">
        <v>87</v>
      </c>
      <c r="P18" s="63" t="s">
        <v>138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25">
      <c r="A19" s="6"/>
      <c r="B19" s="60" t="s">
        <v>72</v>
      </c>
      <c r="C19" s="60" t="s">
        <v>147</v>
      </c>
      <c r="D19" s="60">
        <v>2020</v>
      </c>
      <c r="E19" s="60" t="s">
        <v>96</v>
      </c>
      <c r="F19" s="61">
        <v>1683333</v>
      </c>
      <c r="G19" s="60">
        <v>2022</v>
      </c>
      <c r="H19" s="60" t="s">
        <v>113</v>
      </c>
      <c r="I19" s="62" t="s">
        <v>148</v>
      </c>
      <c r="J19" s="62" t="s">
        <v>149</v>
      </c>
      <c r="K19" s="62" t="s">
        <v>150</v>
      </c>
      <c r="L19" s="60">
        <v>3400</v>
      </c>
      <c r="M19" s="60">
        <v>1700</v>
      </c>
      <c r="N19" s="60" t="s">
        <v>117</v>
      </c>
      <c r="O19" s="64">
        <v>229959</v>
      </c>
      <c r="P19" s="63" t="s">
        <v>128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25">
      <c r="A20" s="6"/>
      <c r="B20" s="60" t="s">
        <v>75</v>
      </c>
      <c r="C20" s="60" t="s">
        <v>151</v>
      </c>
      <c r="D20" s="66" t="s">
        <v>87</v>
      </c>
      <c r="E20" s="60" t="s">
        <v>96</v>
      </c>
      <c r="F20" s="61">
        <v>124691.99</v>
      </c>
      <c r="G20" s="60">
        <v>2009</v>
      </c>
      <c r="H20" s="60" t="s">
        <v>113</v>
      </c>
      <c r="I20" s="62" t="s">
        <v>152</v>
      </c>
      <c r="J20" s="62" t="s">
        <v>153</v>
      </c>
      <c r="K20" s="62" t="s">
        <v>154</v>
      </c>
      <c r="L20" s="60">
        <v>3200</v>
      </c>
      <c r="M20" s="60">
        <v>1600</v>
      </c>
      <c r="N20" s="60" t="s">
        <v>117</v>
      </c>
      <c r="O20" s="64" t="s">
        <v>87</v>
      </c>
      <c r="P20" s="63" t="s">
        <v>87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F21" s="56"/>
    </row>
    <row r="22" spans="1:26" ht="15.75" customHeight="1" x14ac:dyDescent="0.25">
      <c r="F22" s="56"/>
    </row>
    <row r="23" spans="1:26" ht="15.75" customHeight="1" x14ac:dyDescent="0.25">
      <c r="F23" s="56"/>
    </row>
    <row r="24" spans="1:26" ht="15.75" customHeight="1" x14ac:dyDescent="0.25">
      <c r="F24" s="56"/>
    </row>
    <row r="25" spans="1:26" ht="15.75" customHeight="1" x14ac:dyDescent="0.25">
      <c r="F25" s="56"/>
    </row>
    <row r="26" spans="1:26" ht="15.75" customHeight="1" x14ac:dyDescent="0.25">
      <c r="F26" s="56"/>
    </row>
    <row r="27" spans="1:26" ht="15.75" customHeight="1" x14ac:dyDescent="0.25">
      <c r="F27" s="56"/>
    </row>
    <row r="28" spans="1:26" ht="15.75" customHeight="1" x14ac:dyDescent="0.25">
      <c r="F28" s="56"/>
    </row>
    <row r="29" spans="1:26" ht="15.75" customHeight="1" x14ac:dyDescent="0.25">
      <c r="F29" s="56"/>
    </row>
    <row r="30" spans="1:26" ht="15.75" customHeight="1" x14ac:dyDescent="0.25">
      <c r="F30" s="56"/>
    </row>
    <row r="31" spans="1:26" ht="15.75" customHeight="1" x14ac:dyDescent="0.25">
      <c r="F31" s="56"/>
    </row>
    <row r="32" spans="1:26" ht="15.75" customHeight="1" x14ac:dyDescent="0.25">
      <c r="F32" s="56"/>
    </row>
    <row r="33" spans="6:6" ht="15.75" customHeight="1" x14ac:dyDescent="0.25">
      <c r="F33" s="56"/>
    </row>
    <row r="34" spans="6:6" ht="15.75" customHeight="1" x14ac:dyDescent="0.25">
      <c r="F34" s="56"/>
    </row>
    <row r="35" spans="6:6" ht="15.75" customHeight="1" x14ac:dyDescent="0.25">
      <c r="F35" s="56"/>
    </row>
    <row r="36" spans="6:6" ht="15.75" customHeight="1" x14ac:dyDescent="0.25">
      <c r="F36" s="56"/>
    </row>
    <row r="37" spans="6:6" ht="15.75" customHeight="1" x14ac:dyDescent="0.25">
      <c r="F37" s="56"/>
    </row>
    <row r="38" spans="6:6" ht="15.75" customHeight="1" x14ac:dyDescent="0.25">
      <c r="F38" s="56"/>
    </row>
    <row r="39" spans="6:6" ht="15.75" customHeight="1" x14ac:dyDescent="0.25">
      <c r="F39" s="56"/>
    </row>
    <row r="40" spans="6:6" ht="15.75" customHeight="1" x14ac:dyDescent="0.25">
      <c r="F40" s="56"/>
    </row>
    <row r="41" spans="6:6" ht="15.75" customHeight="1" x14ac:dyDescent="0.25">
      <c r="F41" s="56"/>
    </row>
    <row r="42" spans="6:6" ht="15.75" customHeight="1" x14ac:dyDescent="0.25">
      <c r="F42" s="56"/>
    </row>
    <row r="43" spans="6:6" ht="15.75" customHeight="1" x14ac:dyDescent="0.25">
      <c r="F43" s="56"/>
    </row>
    <row r="44" spans="6:6" ht="15.75" customHeight="1" x14ac:dyDescent="0.25">
      <c r="F44" s="56"/>
    </row>
    <row r="45" spans="6:6" ht="15.75" customHeight="1" x14ac:dyDescent="0.25">
      <c r="F45" s="56"/>
    </row>
    <row r="46" spans="6:6" ht="15.75" customHeight="1" x14ac:dyDescent="0.25">
      <c r="F46" s="56"/>
    </row>
    <row r="47" spans="6:6" ht="15.75" customHeight="1" x14ac:dyDescent="0.25">
      <c r="F47" s="56"/>
    </row>
    <row r="48" spans="6:6" ht="15.75" customHeight="1" x14ac:dyDescent="0.25">
      <c r="F48" s="56"/>
    </row>
    <row r="49" spans="6:6" ht="15.75" customHeight="1" x14ac:dyDescent="0.25">
      <c r="F49" s="56"/>
    </row>
    <row r="50" spans="6:6" ht="15.75" customHeight="1" x14ac:dyDescent="0.25">
      <c r="F50" s="56"/>
    </row>
    <row r="51" spans="6:6" ht="15.75" customHeight="1" x14ac:dyDescent="0.25">
      <c r="F51" s="56"/>
    </row>
    <row r="52" spans="6:6" ht="15.75" customHeight="1" x14ac:dyDescent="0.25">
      <c r="F52" s="56"/>
    </row>
    <row r="53" spans="6:6" ht="15.75" customHeight="1" x14ac:dyDescent="0.25">
      <c r="F53" s="56"/>
    </row>
    <row r="54" spans="6:6" ht="15.75" customHeight="1" x14ac:dyDescent="0.25">
      <c r="F54" s="56"/>
    </row>
    <row r="55" spans="6:6" ht="15.75" customHeight="1" x14ac:dyDescent="0.25">
      <c r="F55" s="56"/>
    </row>
    <row r="56" spans="6:6" ht="15.75" customHeight="1" x14ac:dyDescent="0.25">
      <c r="F56" s="56"/>
    </row>
    <row r="57" spans="6:6" ht="15.75" customHeight="1" x14ac:dyDescent="0.25">
      <c r="F57" s="56"/>
    </row>
    <row r="58" spans="6:6" ht="15.75" customHeight="1" x14ac:dyDescent="0.25">
      <c r="F58" s="56"/>
    </row>
    <row r="59" spans="6:6" ht="15.75" customHeight="1" x14ac:dyDescent="0.25">
      <c r="F59" s="56"/>
    </row>
    <row r="60" spans="6:6" ht="15.75" customHeight="1" x14ac:dyDescent="0.25">
      <c r="F60" s="56"/>
    </row>
    <row r="61" spans="6:6" ht="15.75" customHeight="1" x14ac:dyDescent="0.25">
      <c r="F61" s="56"/>
    </row>
    <row r="62" spans="6:6" ht="15.75" customHeight="1" x14ac:dyDescent="0.25">
      <c r="F62" s="56"/>
    </row>
    <row r="63" spans="6:6" ht="15.75" customHeight="1" x14ac:dyDescent="0.25">
      <c r="F63" s="56"/>
    </row>
    <row r="64" spans="6:6" ht="15.75" customHeight="1" x14ac:dyDescent="0.25">
      <c r="F64" s="56"/>
    </row>
    <row r="65" spans="6:6" ht="15.75" customHeight="1" x14ac:dyDescent="0.25">
      <c r="F65" s="56"/>
    </row>
    <row r="66" spans="6:6" ht="15.75" customHeight="1" x14ac:dyDescent="0.25">
      <c r="F66" s="56"/>
    </row>
    <row r="67" spans="6:6" ht="15.75" customHeight="1" x14ac:dyDescent="0.25">
      <c r="F67" s="56"/>
    </row>
    <row r="68" spans="6:6" ht="15.75" customHeight="1" x14ac:dyDescent="0.25">
      <c r="F68" s="56"/>
    </row>
    <row r="69" spans="6:6" ht="15.75" customHeight="1" x14ac:dyDescent="0.25">
      <c r="F69" s="56"/>
    </row>
    <row r="70" spans="6:6" ht="15.75" customHeight="1" x14ac:dyDescent="0.25">
      <c r="F70" s="56"/>
    </row>
    <row r="71" spans="6:6" ht="15.75" customHeight="1" x14ac:dyDescent="0.25">
      <c r="F71" s="56"/>
    </row>
    <row r="72" spans="6:6" ht="15.75" customHeight="1" x14ac:dyDescent="0.25">
      <c r="F72" s="56"/>
    </row>
    <row r="73" spans="6:6" ht="15.75" customHeight="1" x14ac:dyDescent="0.25">
      <c r="F73" s="56"/>
    </row>
    <row r="74" spans="6:6" ht="15.75" customHeight="1" x14ac:dyDescent="0.25">
      <c r="F74" s="56"/>
    </row>
    <row r="75" spans="6:6" ht="15.75" customHeight="1" x14ac:dyDescent="0.25">
      <c r="F75" s="56"/>
    </row>
    <row r="76" spans="6:6" ht="15.75" customHeight="1" x14ac:dyDescent="0.25">
      <c r="F76" s="56"/>
    </row>
    <row r="77" spans="6:6" ht="15.75" customHeight="1" x14ac:dyDescent="0.25">
      <c r="F77" s="56"/>
    </row>
    <row r="78" spans="6:6" ht="15.75" customHeight="1" x14ac:dyDescent="0.25">
      <c r="F78" s="56"/>
    </row>
    <row r="79" spans="6:6" ht="15.75" customHeight="1" x14ac:dyDescent="0.25">
      <c r="F79" s="56"/>
    </row>
    <row r="80" spans="6:6" ht="15.75" customHeight="1" x14ac:dyDescent="0.25">
      <c r="F80" s="56"/>
    </row>
    <row r="81" spans="6:6" ht="15.75" customHeight="1" x14ac:dyDescent="0.25">
      <c r="F81" s="56"/>
    </row>
    <row r="82" spans="6:6" ht="15.75" customHeight="1" x14ac:dyDescent="0.25">
      <c r="F82" s="56"/>
    </row>
    <row r="83" spans="6:6" ht="15.75" customHeight="1" x14ac:dyDescent="0.25">
      <c r="F83" s="56"/>
    </row>
    <row r="84" spans="6:6" ht="15.75" customHeight="1" x14ac:dyDescent="0.25">
      <c r="F84" s="56"/>
    </row>
    <row r="85" spans="6:6" ht="15.75" customHeight="1" x14ac:dyDescent="0.25">
      <c r="F85" s="56"/>
    </row>
    <row r="86" spans="6:6" ht="15.75" customHeight="1" x14ac:dyDescent="0.25">
      <c r="F86" s="56"/>
    </row>
    <row r="87" spans="6:6" ht="15.75" customHeight="1" x14ac:dyDescent="0.25">
      <c r="F87" s="56"/>
    </row>
    <row r="88" spans="6:6" ht="15.75" customHeight="1" x14ac:dyDescent="0.25">
      <c r="F88" s="56"/>
    </row>
    <row r="89" spans="6:6" ht="15.75" customHeight="1" x14ac:dyDescent="0.25">
      <c r="F89" s="56"/>
    </row>
    <row r="90" spans="6:6" ht="15.75" customHeight="1" x14ac:dyDescent="0.25">
      <c r="F90" s="56"/>
    </row>
    <row r="91" spans="6:6" ht="15.75" customHeight="1" x14ac:dyDescent="0.25">
      <c r="F91" s="56"/>
    </row>
    <row r="92" spans="6:6" ht="15.75" customHeight="1" x14ac:dyDescent="0.25">
      <c r="F92" s="56"/>
    </row>
    <row r="93" spans="6:6" ht="15.75" customHeight="1" x14ac:dyDescent="0.25">
      <c r="F93" s="56"/>
    </row>
    <row r="94" spans="6:6" ht="15.75" customHeight="1" x14ac:dyDescent="0.25">
      <c r="F94" s="56"/>
    </row>
    <row r="95" spans="6:6" ht="15.75" customHeight="1" x14ac:dyDescent="0.25">
      <c r="F95" s="56"/>
    </row>
    <row r="96" spans="6:6" ht="15.75" customHeight="1" x14ac:dyDescent="0.25">
      <c r="F96" s="56"/>
    </row>
    <row r="97" spans="6:6" ht="15.75" customHeight="1" x14ac:dyDescent="0.25">
      <c r="F97" s="56"/>
    </row>
    <row r="98" spans="6:6" ht="15.75" customHeight="1" x14ac:dyDescent="0.25">
      <c r="F98" s="56"/>
    </row>
    <row r="99" spans="6:6" ht="15.75" customHeight="1" x14ac:dyDescent="0.25">
      <c r="F99" s="56"/>
    </row>
    <row r="100" spans="6:6" ht="15.75" customHeight="1" x14ac:dyDescent="0.25">
      <c r="F100" s="56"/>
    </row>
    <row r="101" spans="6:6" ht="15.75" customHeight="1" x14ac:dyDescent="0.25">
      <c r="F101" s="56"/>
    </row>
    <row r="102" spans="6:6" ht="15.75" customHeight="1" x14ac:dyDescent="0.25">
      <c r="F102" s="56"/>
    </row>
    <row r="103" spans="6:6" ht="15.75" customHeight="1" x14ac:dyDescent="0.25">
      <c r="F103" s="56"/>
    </row>
    <row r="104" spans="6:6" ht="15.75" customHeight="1" x14ac:dyDescent="0.25">
      <c r="F104" s="56"/>
    </row>
    <row r="105" spans="6:6" ht="15.75" customHeight="1" x14ac:dyDescent="0.25">
      <c r="F105" s="56"/>
    </row>
    <row r="106" spans="6:6" ht="15.75" customHeight="1" x14ac:dyDescent="0.25">
      <c r="F106" s="56"/>
    </row>
    <row r="107" spans="6:6" ht="15.75" customHeight="1" x14ac:dyDescent="0.25">
      <c r="F107" s="56"/>
    </row>
    <row r="108" spans="6:6" ht="15.75" customHeight="1" x14ac:dyDescent="0.25">
      <c r="F108" s="56"/>
    </row>
    <row r="109" spans="6:6" ht="15.75" customHeight="1" x14ac:dyDescent="0.25">
      <c r="F109" s="56"/>
    </row>
    <row r="110" spans="6:6" ht="15.75" customHeight="1" x14ac:dyDescent="0.25">
      <c r="F110" s="56"/>
    </row>
    <row r="111" spans="6:6" ht="15.75" customHeight="1" x14ac:dyDescent="0.25">
      <c r="F111" s="56"/>
    </row>
    <row r="112" spans="6:6" ht="15.75" customHeight="1" x14ac:dyDescent="0.25">
      <c r="F112" s="56"/>
    </row>
    <row r="113" spans="6:6" ht="15.75" customHeight="1" x14ac:dyDescent="0.25">
      <c r="F113" s="56"/>
    </row>
    <row r="114" spans="6:6" ht="15.75" customHeight="1" x14ac:dyDescent="0.25">
      <c r="F114" s="56"/>
    </row>
    <row r="115" spans="6:6" ht="15.75" customHeight="1" x14ac:dyDescent="0.25">
      <c r="F115" s="56"/>
    </row>
    <row r="116" spans="6:6" ht="15.75" customHeight="1" x14ac:dyDescent="0.25">
      <c r="F116" s="56"/>
    </row>
    <row r="117" spans="6:6" ht="15.75" customHeight="1" x14ac:dyDescent="0.25">
      <c r="F117" s="56"/>
    </row>
    <row r="118" spans="6:6" ht="15.75" customHeight="1" x14ac:dyDescent="0.25">
      <c r="F118" s="56"/>
    </row>
    <row r="119" spans="6:6" ht="15.75" customHeight="1" x14ac:dyDescent="0.25">
      <c r="F119" s="56"/>
    </row>
    <row r="120" spans="6:6" ht="15.75" customHeight="1" x14ac:dyDescent="0.25">
      <c r="F120" s="56"/>
    </row>
    <row r="121" spans="6:6" ht="15.75" customHeight="1" x14ac:dyDescent="0.25">
      <c r="F121" s="56"/>
    </row>
    <row r="122" spans="6:6" ht="15.75" customHeight="1" x14ac:dyDescent="0.25">
      <c r="F122" s="56"/>
    </row>
    <row r="123" spans="6:6" ht="15.75" customHeight="1" x14ac:dyDescent="0.25">
      <c r="F123" s="56"/>
    </row>
    <row r="124" spans="6:6" ht="15.75" customHeight="1" x14ac:dyDescent="0.25">
      <c r="F124" s="56"/>
    </row>
    <row r="125" spans="6:6" ht="15.75" customHeight="1" x14ac:dyDescent="0.25">
      <c r="F125" s="56"/>
    </row>
    <row r="126" spans="6:6" ht="15.75" customHeight="1" x14ac:dyDescent="0.25">
      <c r="F126" s="56"/>
    </row>
    <row r="127" spans="6:6" ht="15.75" customHeight="1" x14ac:dyDescent="0.25">
      <c r="F127" s="56"/>
    </row>
    <row r="128" spans="6:6" ht="15.75" customHeight="1" x14ac:dyDescent="0.25">
      <c r="F128" s="56"/>
    </row>
    <row r="129" spans="6:6" ht="15.75" customHeight="1" x14ac:dyDescent="0.25">
      <c r="F129" s="56"/>
    </row>
    <row r="130" spans="6:6" ht="15.75" customHeight="1" x14ac:dyDescent="0.25">
      <c r="F130" s="56"/>
    </row>
    <row r="131" spans="6:6" ht="15.75" customHeight="1" x14ac:dyDescent="0.25">
      <c r="F131" s="56"/>
    </row>
    <row r="132" spans="6:6" ht="15.75" customHeight="1" x14ac:dyDescent="0.25">
      <c r="F132" s="56"/>
    </row>
    <row r="133" spans="6:6" ht="15.75" customHeight="1" x14ac:dyDescent="0.25">
      <c r="F133" s="56"/>
    </row>
    <row r="134" spans="6:6" ht="15.75" customHeight="1" x14ac:dyDescent="0.25">
      <c r="F134" s="56"/>
    </row>
    <row r="135" spans="6:6" ht="15.75" customHeight="1" x14ac:dyDescent="0.25">
      <c r="F135" s="56"/>
    </row>
    <row r="136" spans="6:6" ht="15.75" customHeight="1" x14ac:dyDescent="0.25">
      <c r="F136" s="56"/>
    </row>
    <row r="137" spans="6:6" ht="15.75" customHeight="1" x14ac:dyDescent="0.25">
      <c r="F137" s="56"/>
    </row>
    <row r="138" spans="6:6" ht="15.75" customHeight="1" x14ac:dyDescent="0.25">
      <c r="F138" s="56"/>
    </row>
    <row r="139" spans="6:6" ht="15.75" customHeight="1" x14ac:dyDescent="0.25">
      <c r="F139" s="56"/>
    </row>
    <row r="140" spans="6:6" ht="15.75" customHeight="1" x14ac:dyDescent="0.25">
      <c r="F140" s="56"/>
    </row>
    <row r="141" spans="6:6" ht="15.75" customHeight="1" x14ac:dyDescent="0.25">
      <c r="F141" s="56"/>
    </row>
    <row r="142" spans="6:6" ht="15.75" customHeight="1" x14ac:dyDescent="0.25">
      <c r="F142" s="56"/>
    </row>
    <row r="143" spans="6:6" ht="15.75" customHeight="1" x14ac:dyDescent="0.25">
      <c r="F143" s="56"/>
    </row>
    <row r="144" spans="6:6" ht="15.75" customHeight="1" x14ac:dyDescent="0.25">
      <c r="F144" s="56"/>
    </row>
    <row r="145" spans="6:6" ht="15.75" customHeight="1" x14ac:dyDescent="0.25">
      <c r="F145" s="56"/>
    </row>
    <row r="146" spans="6:6" ht="15.75" customHeight="1" x14ac:dyDescent="0.25">
      <c r="F146" s="56"/>
    </row>
    <row r="147" spans="6:6" ht="15.75" customHeight="1" x14ac:dyDescent="0.25">
      <c r="F147" s="56"/>
    </row>
    <row r="148" spans="6:6" ht="15.75" customHeight="1" x14ac:dyDescent="0.25">
      <c r="F148" s="56"/>
    </row>
    <row r="149" spans="6:6" ht="15.75" customHeight="1" x14ac:dyDescent="0.25">
      <c r="F149" s="56"/>
    </row>
    <row r="150" spans="6:6" ht="15.75" customHeight="1" x14ac:dyDescent="0.25">
      <c r="F150" s="56"/>
    </row>
    <row r="151" spans="6:6" ht="15.75" customHeight="1" x14ac:dyDescent="0.25">
      <c r="F151" s="56"/>
    </row>
    <row r="152" spans="6:6" ht="15.75" customHeight="1" x14ac:dyDescent="0.25">
      <c r="F152" s="56"/>
    </row>
    <row r="153" spans="6:6" ht="15.75" customHeight="1" x14ac:dyDescent="0.25">
      <c r="F153" s="56"/>
    </row>
    <row r="154" spans="6:6" ht="15.75" customHeight="1" x14ac:dyDescent="0.25">
      <c r="F154" s="56"/>
    </row>
    <row r="155" spans="6:6" ht="15.75" customHeight="1" x14ac:dyDescent="0.25">
      <c r="F155" s="56"/>
    </row>
    <row r="156" spans="6:6" ht="15.75" customHeight="1" x14ac:dyDescent="0.25">
      <c r="F156" s="56"/>
    </row>
    <row r="157" spans="6:6" ht="15.75" customHeight="1" x14ac:dyDescent="0.25">
      <c r="F157" s="56"/>
    </row>
    <row r="158" spans="6:6" ht="15.75" customHeight="1" x14ac:dyDescent="0.25">
      <c r="F158" s="56"/>
    </row>
    <row r="159" spans="6:6" ht="15.75" customHeight="1" x14ac:dyDescent="0.25">
      <c r="F159" s="56"/>
    </row>
    <row r="160" spans="6:6" ht="15.75" customHeight="1" x14ac:dyDescent="0.25">
      <c r="F160" s="56"/>
    </row>
    <row r="161" spans="6:6" ht="15.75" customHeight="1" x14ac:dyDescent="0.25">
      <c r="F161" s="56"/>
    </row>
    <row r="162" spans="6:6" ht="15.75" customHeight="1" x14ac:dyDescent="0.25">
      <c r="F162" s="56"/>
    </row>
    <row r="163" spans="6:6" ht="15.75" customHeight="1" x14ac:dyDescent="0.25">
      <c r="F163" s="56"/>
    </row>
    <row r="164" spans="6:6" ht="15.75" customHeight="1" x14ac:dyDescent="0.25">
      <c r="F164" s="56"/>
    </row>
    <row r="165" spans="6:6" ht="15.75" customHeight="1" x14ac:dyDescent="0.25">
      <c r="F165" s="56"/>
    </row>
    <row r="166" spans="6:6" ht="15.75" customHeight="1" x14ac:dyDescent="0.25">
      <c r="F166" s="56"/>
    </row>
    <row r="167" spans="6:6" ht="15.75" customHeight="1" x14ac:dyDescent="0.25">
      <c r="F167" s="56"/>
    </row>
    <row r="168" spans="6:6" ht="15.75" customHeight="1" x14ac:dyDescent="0.25">
      <c r="F168" s="56"/>
    </row>
    <row r="169" spans="6:6" ht="15.75" customHeight="1" x14ac:dyDescent="0.25">
      <c r="F169" s="56"/>
    </row>
    <row r="170" spans="6:6" ht="15.75" customHeight="1" x14ac:dyDescent="0.25">
      <c r="F170" s="56"/>
    </row>
    <row r="171" spans="6:6" ht="15.75" customHeight="1" x14ac:dyDescent="0.25">
      <c r="F171" s="56"/>
    </row>
    <row r="172" spans="6:6" ht="15.75" customHeight="1" x14ac:dyDescent="0.25">
      <c r="F172" s="56"/>
    </row>
    <row r="173" spans="6:6" ht="15.75" customHeight="1" x14ac:dyDescent="0.25">
      <c r="F173" s="56"/>
    </row>
    <row r="174" spans="6:6" ht="15.75" customHeight="1" x14ac:dyDescent="0.25">
      <c r="F174" s="56"/>
    </row>
    <row r="175" spans="6:6" ht="15.75" customHeight="1" x14ac:dyDescent="0.25">
      <c r="F175" s="56"/>
    </row>
    <row r="176" spans="6:6" ht="15.75" customHeight="1" x14ac:dyDescent="0.25">
      <c r="F176" s="56"/>
    </row>
    <row r="177" spans="6:6" ht="15.75" customHeight="1" x14ac:dyDescent="0.25">
      <c r="F177" s="56"/>
    </row>
    <row r="178" spans="6:6" ht="15.75" customHeight="1" x14ac:dyDescent="0.25">
      <c r="F178" s="56"/>
    </row>
    <row r="179" spans="6:6" ht="15.75" customHeight="1" x14ac:dyDescent="0.25">
      <c r="F179" s="56"/>
    </row>
    <row r="180" spans="6:6" ht="15.75" customHeight="1" x14ac:dyDescent="0.25">
      <c r="F180" s="56"/>
    </row>
    <row r="181" spans="6:6" ht="15.75" customHeight="1" x14ac:dyDescent="0.25">
      <c r="F181" s="56"/>
    </row>
    <row r="182" spans="6:6" ht="15.75" customHeight="1" x14ac:dyDescent="0.25">
      <c r="F182" s="56"/>
    </row>
    <row r="183" spans="6:6" ht="15.75" customHeight="1" x14ac:dyDescent="0.25">
      <c r="F183" s="56"/>
    </row>
    <row r="184" spans="6:6" ht="15.75" customHeight="1" x14ac:dyDescent="0.25">
      <c r="F184" s="56"/>
    </row>
    <row r="185" spans="6:6" ht="15.75" customHeight="1" x14ac:dyDescent="0.25">
      <c r="F185" s="56"/>
    </row>
    <row r="186" spans="6:6" ht="15.75" customHeight="1" x14ac:dyDescent="0.25">
      <c r="F186" s="56"/>
    </row>
    <row r="187" spans="6:6" ht="15.75" customHeight="1" x14ac:dyDescent="0.25">
      <c r="F187" s="56"/>
    </row>
    <row r="188" spans="6:6" ht="15.75" customHeight="1" x14ac:dyDescent="0.25">
      <c r="F188" s="56"/>
    </row>
    <row r="189" spans="6:6" ht="15.75" customHeight="1" x14ac:dyDescent="0.25">
      <c r="F189" s="56"/>
    </row>
    <row r="190" spans="6:6" ht="15.75" customHeight="1" x14ac:dyDescent="0.25">
      <c r="F190" s="56"/>
    </row>
    <row r="191" spans="6:6" ht="15.75" customHeight="1" x14ac:dyDescent="0.25">
      <c r="F191" s="56"/>
    </row>
    <row r="192" spans="6:6" ht="15.75" customHeight="1" x14ac:dyDescent="0.25">
      <c r="F192" s="56"/>
    </row>
    <row r="193" spans="6:6" ht="15.75" customHeight="1" x14ac:dyDescent="0.25">
      <c r="F193" s="56"/>
    </row>
    <row r="194" spans="6:6" ht="15.75" customHeight="1" x14ac:dyDescent="0.25">
      <c r="F194" s="56"/>
    </row>
    <row r="195" spans="6:6" ht="15.75" customHeight="1" x14ac:dyDescent="0.25">
      <c r="F195" s="56"/>
    </row>
    <row r="196" spans="6:6" ht="15.75" customHeight="1" x14ac:dyDescent="0.25">
      <c r="F196" s="56"/>
    </row>
    <row r="197" spans="6:6" ht="15.75" customHeight="1" x14ac:dyDescent="0.25">
      <c r="F197" s="56"/>
    </row>
    <row r="198" spans="6:6" ht="15.75" customHeight="1" x14ac:dyDescent="0.25">
      <c r="F198" s="56"/>
    </row>
    <row r="199" spans="6:6" ht="15.75" customHeight="1" x14ac:dyDescent="0.25">
      <c r="F199" s="56"/>
    </row>
    <row r="200" spans="6:6" ht="15.75" customHeight="1" x14ac:dyDescent="0.25">
      <c r="F200" s="56"/>
    </row>
    <row r="201" spans="6:6" ht="15.75" customHeight="1" x14ac:dyDescent="0.25">
      <c r="F201" s="56"/>
    </row>
    <row r="202" spans="6:6" ht="15.75" customHeight="1" x14ac:dyDescent="0.25">
      <c r="F202" s="56"/>
    </row>
    <row r="203" spans="6:6" ht="15.75" customHeight="1" x14ac:dyDescent="0.25">
      <c r="F203" s="56"/>
    </row>
    <row r="204" spans="6:6" ht="15.75" customHeight="1" x14ac:dyDescent="0.25">
      <c r="F204" s="56"/>
    </row>
    <row r="205" spans="6:6" ht="15.75" customHeight="1" x14ac:dyDescent="0.25">
      <c r="F205" s="56"/>
    </row>
    <row r="206" spans="6:6" ht="15.75" customHeight="1" x14ac:dyDescent="0.25">
      <c r="F206" s="56"/>
    </row>
    <row r="207" spans="6:6" ht="15.75" customHeight="1" x14ac:dyDescent="0.25">
      <c r="F207" s="56"/>
    </row>
    <row r="208" spans="6:6" ht="15.75" customHeight="1" x14ac:dyDescent="0.25">
      <c r="F208" s="56"/>
    </row>
    <row r="209" spans="6:6" ht="15.75" customHeight="1" x14ac:dyDescent="0.25">
      <c r="F209" s="56"/>
    </row>
    <row r="210" spans="6:6" ht="15.75" customHeight="1" x14ac:dyDescent="0.25">
      <c r="F210" s="56"/>
    </row>
    <row r="211" spans="6:6" ht="15.75" customHeight="1" x14ac:dyDescent="0.25">
      <c r="F211" s="56"/>
    </row>
    <row r="212" spans="6:6" ht="15.75" customHeight="1" x14ac:dyDescent="0.25">
      <c r="F212" s="56"/>
    </row>
    <row r="213" spans="6:6" ht="15.75" customHeight="1" x14ac:dyDescent="0.25">
      <c r="F213" s="56"/>
    </row>
    <row r="214" spans="6:6" ht="15.75" customHeight="1" x14ac:dyDescent="0.25">
      <c r="F214" s="56"/>
    </row>
    <row r="215" spans="6:6" ht="15.75" customHeight="1" x14ac:dyDescent="0.25">
      <c r="F215" s="56"/>
    </row>
    <row r="216" spans="6:6" ht="15.75" customHeight="1" x14ac:dyDescent="0.25">
      <c r="F216" s="56"/>
    </row>
    <row r="217" spans="6:6" ht="15.75" customHeight="1" x14ac:dyDescent="0.25">
      <c r="F217" s="56"/>
    </row>
    <row r="218" spans="6:6" ht="15.75" customHeight="1" x14ac:dyDescent="0.25">
      <c r="F218" s="56"/>
    </row>
    <row r="219" spans="6:6" ht="15.75" customHeight="1" x14ac:dyDescent="0.25">
      <c r="F219" s="56"/>
    </row>
    <row r="220" spans="6:6" ht="15.75" customHeight="1" x14ac:dyDescent="0.25">
      <c r="F220" s="56"/>
    </row>
    <row r="221" spans="6:6" ht="15.75" customHeight="1" x14ac:dyDescent="0.25">
      <c r="F221" s="56"/>
    </row>
    <row r="222" spans="6:6" ht="15.75" customHeight="1" x14ac:dyDescent="0.25">
      <c r="F222" s="56"/>
    </row>
    <row r="223" spans="6:6" ht="15.75" customHeight="1" x14ac:dyDescent="0.25">
      <c r="F223" s="56"/>
    </row>
    <row r="224" spans="6:6" ht="15.75" customHeight="1" x14ac:dyDescent="0.25">
      <c r="F224" s="56"/>
    </row>
    <row r="225" spans="6:6" ht="15.75" customHeight="1" x14ac:dyDescent="0.25">
      <c r="F225" s="56"/>
    </row>
    <row r="226" spans="6:6" ht="15.75" customHeight="1" x14ac:dyDescent="0.25">
      <c r="F226" s="56"/>
    </row>
    <row r="227" spans="6:6" ht="15.75" customHeight="1" x14ac:dyDescent="0.25">
      <c r="F227" s="56"/>
    </row>
    <row r="228" spans="6:6" ht="15.75" customHeight="1" x14ac:dyDescent="0.25">
      <c r="F228" s="56"/>
    </row>
    <row r="229" spans="6:6" ht="15.75" customHeight="1" x14ac:dyDescent="0.25">
      <c r="F229" s="56"/>
    </row>
    <row r="230" spans="6:6" ht="15.75" customHeight="1" x14ac:dyDescent="0.25">
      <c r="F230" s="56"/>
    </row>
    <row r="231" spans="6:6" ht="15.75" customHeight="1" x14ac:dyDescent="0.25">
      <c r="F231" s="56"/>
    </row>
    <row r="232" spans="6:6" ht="15.75" customHeight="1" x14ac:dyDescent="0.25">
      <c r="F232" s="56"/>
    </row>
    <row r="233" spans="6:6" ht="15.75" customHeight="1" x14ac:dyDescent="0.25">
      <c r="F233" s="56"/>
    </row>
    <row r="234" spans="6:6" ht="15.75" customHeight="1" x14ac:dyDescent="0.25">
      <c r="F234" s="56"/>
    </row>
    <row r="235" spans="6:6" ht="15.75" customHeight="1" x14ac:dyDescent="0.25">
      <c r="F235" s="56"/>
    </row>
    <row r="236" spans="6:6" ht="15.75" customHeight="1" x14ac:dyDescent="0.25">
      <c r="F236" s="56"/>
    </row>
    <row r="237" spans="6:6" ht="15.75" customHeight="1" x14ac:dyDescent="0.25">
      <c r="F237" s="56"/>
    </row>
    <row r="238" spans="6:6" ht="15.75" customHeight="1" x14ac:dyDescent="0.25">
      <c r="F238" s="56"/>
    </row>
    <row r="239" spans="6:6" ht="15.75" customHeight="1" x14ac:dyDescent="0.25">
      <c r="F239" s="56"/>
    </row>
    <row r="240" spans="6:6" ht="15.75" customHeight="1" x14ac:dyDescent="0.25">
      <c r="F240" s="56"/>
    </row>
    <row r="241" spans="6:6" ht="15.75" customHeight="1" x14ac:dyDescent="0.25">
      <c r="F241" s="56"/>
    </row>
    <row r="242" spans="6:6" ht="15.75" customHeight="1" x14ac:dyDescent="0.25">
      <c r="F242" s="56"/>
    </row>
    <row r="243" spans="6:6" ht="15.75" customHeight="1" x14ac:dyDescent="0.25">
      <c r="F243" s="56"/>
    </row>
    <row r="244" spans="6:6" ht="15.75" customHeight="1" x14ac:dyDescent="0.25">
      <c r="F244" s="56"/>
    </row>
    <row r="245" spans="6:6" ht="15.75" customHeight="1" x14ac:dyDescent="0.25">
      <c r="F245" s="56"/>
    </row>
    <row r="246" spans="6:6" ht="15.75" customHeight="1" x14ac:dyDescent="0.25">
      <c r="F246" s="56"/>
    </row>
    <row r="247" spans="6:6" ht="15.75" customHeight="1" x14ac:dyDescent="0.25">
      <c r="F247" s="56"/>
    </row>
    <row r="248" spans="6:6" ht="15.75" customHeight="1" x14ac:dyDescent="0.25">
      <c r="F248" s="56"/>
    </row>
    <row r="249" spans="6:6" ht="15.75" customHeight="1" x14ac:dyDescent="0.25">
      <c r="F249" s="56"/>
    </row>
    <row r="250" spans="6:6" ht="15.75" customHeight="1" x14ac:dyDescent="0.25">
      <c r="F250" s="56"/>
    </row>
    <row r="251" spans="6:6" ht="15.75" customHeight="1" x14ac:dyDescent="0.25">
      <c r="F251" s="56"/>
    </row>
    <row r="252" spans="6:6" ht="15.75" customHeight="1" x14ac:dyDescent="0.25">
      <c r="F252" s="56"/>
    </row>
    <row r="253" spans="6:6" ht="15.75" customHeight="1" x14ac:dyDescent="0.25">
      <c r="F253" s="56"/>
    </row>
    <row r="254" spans="6:6" ht="15.75" customHeight="1" x14ac:dyDescent="0.25">
      <c r="F254" s="56"/>
    </row>
    <row r="255" spans="6:6" ht="15.75" customHeight="1" x14ac:dyDescent="0.25">
      <c r="F255" s="56"/>
    </row>
    <row r="256" spans="6:6" ht="15.75" customHeight="1" x14ac:dyDescent="0.25">
      <c r="F256" s="56"/>
    </row>
    <row r="257" spans="6:6" ht="15.75" customHeight="1" x14ac:dyDescent="0.25">
      <c r="F257" s="56"/>
    </row>
    <row r="258" spans="6:6" ht="15.75" customHeight="1" x14ac:dyDescent="0.25">
      <c r="F258" s="56"/>
    </row>
    <row r="259" spans="6:6" ht="15.75" customHeight="1" x14ac:dyDescent="0.25">
      <c r="F259" s="56"/>
    </row>
    <row r="260" spans="6:6" ht="15.75" customHeight="1" x14ac:dyDescent="0.25">
      <c r="F260" s="56"/>
    </row>
    <row r="261" spans="6:6" ht="15.75" customHeight="1" x14ac:dyDescent="0.25">
      <c r="F261" s="56"/>
    </row>
    <row r="262" spans="6:6" ht="15.75" customHeight="1" x14ac:dyDescent="0.25">
      <c r="F262" s="56"/>
    </row>
    <row r="263" spans="6:6" ht="15.75" customHeight="1" x14ac:dyDescent="0.25">
      <c r="F263" s="56"/>
    </row>
    <row r="264" spans="6:6" ht="15.75" customHeight="1" x14ac:dyDescent="0.25">
      <c r="F264" s="56"/>
    </row>
    <row r="265" spans="6:6" ht="15.75" customHeight="1" x14ac:dyDescent="0.25">
      <c r="F265" s="56"/>
    </row>
    <row r="266" spans="6:6" ht="15.75" customHeight="1" x14ac:dyDescent="0.25">
      <c r="F266" s="56"/>
    </row>
    <row r="267" spans="6:6" ht="15.75" customHeight="1" x14ac:dyDescent="0.25">
      <c r="F267" s="56"/>
    </row>
    <row r="268" spans="6:6" ht="15.75" customHeight="1" x14ac:dyDescent="0.25">
      <c r="F268" s="56"/>
    </row>
    <row r="269" spans="6:6" ht="15.75" customHeight="1" x14ac:dyDescent="0.25">
      <c r="F269" s="56"/>
    </row>
    <row r="270" spans="6:6" ht="15.75" customHeight="1" x14ac:dyDescent="0.25">
      <c r="F270" s="56"/>
    </row>
    <row r="271" spans="6:6" ht="15.75" customHeight="1" x14ac:dyDescent="0.25">
      <c r="F271" s="56"/>
    </row>
    <row r="272" spans="6:6" ht="15.75" customHeight="1" x14ac:dyDescent="0.25">
      <c r="F272" s="56"/>
    </row>
    <row r="273" spans="6:6" ht="15.75" customHeight="1" x14ac:dyDescent="0.25">
      <c r="F273" s="56"/>
    </row>
    <row r="274" spans="6:6" ht="15.75" customHeight="1" x14ac:dyDescent="0.25">
      <c r="F274" s="56"/>
    </row>
    <row r="275" spans="6:6" ht="15.75" customHeight="1" x14ac:dyDescent="0.25">
      <c r="F275" s="56"/>
    </row>
    <row r="276" spans="6:6" ht="15.75" customHeight="1" x14ac:dyDescent="0.25">
      <c r="F276" s="56"/>
    </row>
    <row r="277" spans="6:6" ht="15.75" customHeight="1" x14ac:dyDescent="0.25">
      <c r="F277" s="56"/>
    </row>
    <row r="278" spans="6:6" ht="15.75" customHeight="1" x14ac:dyDescent="0.25">
      <c r="F278" s="56"/>
    </row>
    <row r="279" spans="6:6" ht="15.75" customHeight="1" x14ac:dyDescent="0.25">
      <c r="F279" s="56"/>
    </row>
    <row r="280" spans="6:6" ht="15.75" customHeight="1" x14ac:dyDescent="0.25">
      <c r="F280" s="56"/>
    </row>
    <row r="281" spans="6:6" ht="15.75" customHeight="1" x14ac:dyDescent="0.25">
      <c r="F281" s="56"/>
    </row>
    <row r="282" spans="6:6" ht="15.75" customHeight="1" x14ac:dyDescent="0.25">
      <c r="F282" s="56"/>
    </row>
    <row r="283" spans="6:6" ht="15.75" customHeight="1" x14ac:dyDescent="0.25">
      <c r="F283" s="56"/>
    </row>
    <row r="284" spans="6:6" ht="15.75" customHeight="1" x14ac:dyDescent="0.25">
      <c r="F284" s="56"/>
    </row>
    <row r="285" spans="6:6" ht="15.75" customHeight="1" x14ac:dyDescent="0.25">
      <c r="F285" s="56"/>
    </row>
    <row r="286" spans="6:6" ht="15.75" customHeight="1" x14ac:dyDescent="0.25">
      <c r="F286" s="56"/>
    </row>
    <row r="287" spans="6:6" ht="15.75" customHeight="1" x14ac:dyDescent="0.25">
      <c r="F287" s="56"/>
    </row>
    <row r="288" spans="6:6" ht="15.75" customHeight="1" x14ac:dyDescent="0.25">
      <c r="F288" s="56"/>
    </row>
    <row r="289" spans="6:6" ht="15.75" customHeight="1" x14ac:dyDescent="0.25">
      <c r="F289" s="56"/>
    </row>
    <row r="290" spans="6:6" ht="15.75" customHeight="1" x14ac:dyDescent="0.25">
      <c r="F290" s="56"/>
    </row>
    <row r="291" spans="6:6" ht="15.75" customHeight="1" x14ac:dyDescent="0.25">
      <c r="F291" s="56"/>
    </row>
    <row r="292" spans="6:6" ht="15.75" customHeight="1" x14ac:dyDescent="0.25">
      <c r="F292" s="56"/>
    </row>
    <row r="293" spans="6:6" ht="15.75" customHeight="1" x14ac:dyDescent="0.25">
      <c r="F293" s="56"/>
    </row>
    <row r="294" spans="6:6" ht="15.75" customHeight="1" x14ac:dyDescent="0.25">
      <c r="F294" s="56"/>
    </row>
    <row r="295" spans="6:6" ht="15.75" customHeight="1" x14ac:dyDescent="0.25">
      <c r="F295" s="56"/>
    </row>
    <row r="296" spans="6:6" ht="15.75" customHeight="1" x14ac:dyDescent="0.25">
      <c r="F296" s="56"/>
    </row>
    <row r="297" spans="6:6" ht="15.75" customHeight="1" x14ac:dyDescent="0.25">
      <c r="F297" s="56"/>
    </row>
    <row r="298" spans="6:6" ht="15.75" customHeight="1" x14ac:dyDescent="0.25">
      <c r="F298" s="56"/>
    </row>
    <row r="299" spans="6:6" ht="15.75" customHeight="1" x14ac:dyDescent="0.25">
      <c r="F299" s="56"/>
    </row>
    <row r="300" spans="6:6" ht="15.75" customHeight="1" x14ac:dyDescent="0.25">
      <c r="F300" s="56"/>
    </row>
    <row r="301" spans="6:6" ht="15.75" customHeight="1" x14ac:dyDescent="0.25">
      <c r="F301" s="56"/>
    </row>
    <row r="302" spans="6:6" ht="15.75" customHeight="1" x14ac:dyDescent="0.25">
      <c r="F302" s="56"/>
    </row>
    <row r="303" spans="6:6" ht="15.75" customHeight="1" x14ac:dyDescent="0.25">
      <c r="F303" s="56"/>
    </row>
    <row r="304" spans="6:6" ht="15.75" customHeight="1" x14ac:dyDescent="0.25">
      <c r="F304" s="56"/>
    </row>
    <row r="305" spans="6:6" ht="15.75" customHeight="1" x14ac:dyDescent="0.25">
      <c r="F305" s="56"/>
    </row>
    <row r="306" spans="6:6" ht="15.75" customHeight="1" x14ac:dyDescent="0.25">
      <c r="F306" s="56"/>
    </row>
    <row r="307" spans="6:6" ht="15.75" customHeight="1" x14ac:dyDescent="0.25">
      <c r="F307" s="56"/>
    </row>
    <row r="308" spans="6:6" ht="15.75" customHeight="1" x14ac:dyDescent="0.25">
      <c r="F308" s="56"/>
    </row>
    <row r="309" spans="6:6" ht="15.75" customHeight="1" x14ac:dyDescent="0.25">
      <c r="F309" s="56"/>
    </row>
    <row r="310" spans="6:6" ht="15.75" customHeight="1" x14ac:dyDescent="0.25">
      <c r="F310" s="56"/>
    </row>
    <row r="311" spans="6:6" ht="15.75" customHeight="1" x14ac:dyDescent="0.25">
      <c r="F311" s="56"/>
    </row>
    <row r="312" spans="6:6" ht="15.75" customHeight="1" x14ac:dyDescent="0.25">
      <c r="F312" s="56"/>
    </row>
    <row r="313" spans="6:6" ht="15.75" customHeight="1" x14ac:dyDescent="0.25">
      <c r="F313" s="56"/>
    </row>
    <row r="314" spans="6:6" ht="15.75" customHeight="1" x14ac:dyDescent="0.25">
      <c r="F314" s="56"/>
    </row>
    <row r="315" spans="6:6" ht="15.75" customHeight="1" x14ac:dyDescent="0.25">
      <c r="F315" s="56"/>
    </row>
    <row r="316" spans="6:6" ht="15.75" customHeight="1" x14ac:dyDescent="0.25">
      <c r="F316" s="56"/>
    </row>
    <row r="317" spans="6:6" ht="15.75" customHeight="1" x14ac:dyDescent="0.25">
      <c r="F317" s="56"/>
    </row>
    <row r="318" spans="6:6" ht="15.75" customHeight="1" x14ac:dyDescent="0.25">
      <c r="F318" s="56"/>
    </row>
    <row r="319" spans="6:6" ht="15.75" customHeight="1" x14ac:dyDescent="0.25">
      <c r="F319" s="56"/>
    </row>
    <row r="320" spans="6:6" ht="15.75" customHeight="1" x14ac:dyDescent="0.25">
      <c r="F320" s="56"/>
    </row>
    <row r="321" spans="6:6" ht="15.75" customHeight="1" x14ac:dyDescent="0.25">
      <c r="F321" s="56"/>
    </row>
    <row r="322" spans="6:6" ht="15.75" customHeight="1" x14ac:dyDescent="0.25">
      <c r="F322" s="56"/>
    </row>
    <row r="323" spans="6:6" ht="15.75" customHeight="1" x14ac:dyDescent="0.25">
      <c r="F323" s="56"/>
    </row>
    <row r="324" spans="6:6" ht="15.75" customHeight="1" x14ac:dyDescent="0.25">
      <c r="F324" s="56"/>
    </row>
    <row r="325" spans="6:6" ht="15.75" customHeight="1" x14ac:dyDescent="0.25">
      <c r="F325" s="56"/>
    </row>
    <row r="326" spans="6:6" ht="15.75" customHeight="1" x14ac:dyDescent="0.25">
      <c r="F326" s="56"/>
    </row>
    <row r="327" spans="6:6" ht="15.75" customHeight="1" x14ac:dyDescent="0.25">
      <c r="F327" s="56"/>
    </row>
    <row r="328" spans="6:6" ht="15.75" customHeight="1" x14ac:dyDescent="0.25">
      <c r="F328" s="56"/>
    </row>
    <row r="329" spans="6:6" ht="15.75" customHeight="1" x14ac:dyDescent="0.25">
      <c r="F329" s="56"/>
    </row>
    <row r="330" spans="6:6" ht="15.75" customHeight="1" x14ac:dyDescent="0.25">
      <c r="F330" s="56"/>
    </row>
    <row r="331" spans="6:6" ht="15.75" customHeight="1" x14ac:dyDescent="0.25">
      <c r="F331" s="56"/>
    </row>
    <row r="332" spans="6:6" ht="15.75" customHeight="1" x14ac:dyDescent="0.25">
      <c r="F332" s="56"/>
    </row>
    <row r="333" spans="6:6" ht="15.75" customHeight="1" x14ac:dyDescent="0.25">
      <c r="F333" s="56"/>
    </row>
    <row r="334" spans="6:6" ht="15.75" customHeight="1" x14ac:dyDescent="0.25">
      <c r="F334" s="56"/>
    </row>
    <row r="335" spans="6:6" ht="15.75" customHeight="1" x14ac:dyDescent="0.25">
      <c r="F335" s="56"/>
    </row>
    <row r="336" spans="6:6" ht="15.75" customHeight="1" x14ac:dyDescent="0.25">
      <c r="F336" s="56"/>
    </row>
    <row r="337" spans="6:6" ht="15.75" customHeight="1" x14ac:dyDescent="0.25">
      <c r="F337" s="56"/>
    </row>
    <row r="338" spans="6:6" ht="15.75" customHeight="1" x14ac:dyDescent="0.25">
      <c r="F338" s="56"/>
    </row>
    <row r="339" spans="6:6" ht="15.75" customHeight="1" x14ac:dyDescent="0.25">
      <c r="F339" s="56"/>
    </row>
    <row r="340" spans="6:6" ht="15.75" customHeight="1" x14ac:dyDescent="0.25">
      <c r="F340" s="56"/>
    </row>
    <row r="341" spans="6:6" ht="15.75" customHeight="1" x14ac:dyDescent="0.25">
      <c r="F341" s="56"/>
    </row>
    <row r="342" spans="6:6" ht="15.75" customHeight="1" x14ac:dyDescent="0.25">
      <c r="F342" s="56"/>
    </row>
    <row r="343" spans="6:6" ht="15.75" customHeight="1" x14ac:dyDescent="0.25">
      <c r="F343" s="56"/>
    </row>
    <row r="344" spans="6:6" ht="15.75" customHeight="1" x14ac:dyDescent="0.25">
      <c r="F344" s="56"/>
    </row>
    <row r="345" spans="6:6" ht="15.75" customHeight="1" x14ac:dyDescent="0.25">
      <c r="F345" s="56"/>
    </row>
    <row r="346" spans="6:6" ht="15.75" customHeight="1" x14ac:dyDescent="0.25">
      <c r="F346" s="56"/>
    </row>
    <row r="347" spans="6:6" ht="15.75" customHeight="1" x14ac:dyDescent="0.25">
      <c r="F347" s="56"/>
    </row>
    <row r="348" spans="6:6" ht="15.75" customHeight="1" x14ac:dyDescent="0.25">
      <c r="F348" s="56"/>
    </row>
    <row r="349" spans="6:6" ht="15.75" customHeight="1" x14ac:dyDescent="0.25">
      <c r="F349" s="56"/>
    </row>
    <row r="350" spans="6:6" ht="15.75" customHeight="1" x14ac:dyDescent="0.25">
      <c r="F350" s="56"/>
    </row>
    <row r="351" spans="6:6" ht="15.75" customHeight="1" x14ac:dyDescent="0.25">
      <c r="F351" s="56"/>
    </row>
    <row r="352" spans="6:6" ht="15.75" customHeight="1" x14ac:dyDescent="0.25">
      <c r="F352" s="56"/>
    </row>
    <row r="353" spans="6:6" ht="15.75" customHeight="1" x14ac:dyDescent="0.25">
      <c r="F353" s="56"/>
    </row>
    <row r="354" spans="6:6" ht="15.75" customHeight="1" x14ac:dyDescent="0.25">
      <c r="F354" s="56"/>
    </row>
    <row r="355" spans="6:6" ht="15.75" customHeight="1" x14ac:dyDescent="0.25">
      <c r="F355" s="56"/>
    </row>
    <row r="356" spans="6:6" ht="15.75" customHeight="1" x14ac:dyDescent="0.25">
      <c r="F356" s="56"/>
    </row>
    <row r="357" spans="6:6" ht="15.75" customHeight="1" x14ac:dyDescent="0.25">
      <c r="F357" s="56"/>
    </row>
    <row r="358" spans="6:6" ht="15.75" customHeight="1" x14ac:dyDescent="0.25">
      <c r="F358" s="56"/>
    </row>
    <row r="359" spans="6:6" ht="15.75" customHeight="1" x14ac:dyDescent="0.25">
      <c r="F359" s="56"/>
    </row>
    <row r="360" spans="6:6" ht="15.75" customHeight="1" x14ac:dyDescent="0.25">
      <c r="F360" s="56"/>
    </row>
    <row r="361" spans="6:6" ht="15.75" customHeight="1" x14ac:dyDescent="0.25">
      <c r="F361" s="56"/>
    </row>
    <row r="362" spans="6:6" ht="15.75" customHeight="1" x14ac:dyDescent="0.25">
      <c r="F362" s="56"/>
    </row>
    <row r="363" spans="6:6" ht="15.75" customHeight="1" x14ac:dyDescent="0.25">
      <c r="F363" s="56"/>
    </row>
    <row r="364" spans="6:6" ht="15.75" customHeight="1" x14ac:dyDescent="0.25">
      <c r="F364" s="56"/>
    </row>
    <row r="365" spans="6:6" ht="15.75" customHeight="1" x14ac:dyDescent="0.25">
      <c r="F365" s="56"/>
    </row>
    <row r="366" spans="6:6" ht="15.75" customHeight="1" x14ac:dyDescent="0.25">
      <c r="F366" s="56"/>
    </row>
    <row r="367" spans="6:6" ht="15.75" customHeight="1" x14ac:dyDescent="0.25">
      <c r="F367" s="56"/>
    </row>
    <row r="368" spans="6:6" ht="15.75" customHeight="1" x14ac:dyDescent="0.25">
      <c r="F368" s="56"/>
    </row>
    <row r="369" spans="6:6" ht="15.75" customHeight="1" x14ac:dyDescent="0.25">
      <c r="F369" s="56"/>
    </row>
    <row r="370" spans="6:6" ht="15.75" customHeight="1" x14ac:dyDescent="0.25">
      <c r="F370" s="56"/>
    </row>
    <row r="371" spans="6:6" ht="15.75" customHeight="1" x14ac:dyDescent="0.25">
      <c r="F371" s="56"/>
    </row>
    <row r="372" spans="6:6" ht="15.75" customHeight="1" x14ac:dyDescent="0.25">
      <c r="F372" s="56"/>
    </row>
    <row r="373" spans="6:6" ht="15.75" customHeight="1" x14ac:dyDescent="0.25">
      <c r="F373" s="56"/>
    </row>
    <row r="374" spans="6:6" ht="15.75" customHeight="1" x14ac:dyDescent="0.25">
      <c r="F374" s="56"/>
    </row>
    <row r="375" spans="6:6" ht="15.75" customHeight="1" x14ac:dyDescent="0.25">
      <c r="F375" s="56"/>
    </row>
    <row r="376" spans="6:6" ht="15.75" customHeight="1" x14ac:dyDescent="0.25">
      <c r="F376" s="56"/>
    </row>
    <row r="377" spans="6:6" ht="15.75" customHeight="1" x14ac:dyDescent="0.25">
      <c r="F377" s="56"/>
    </row>
    <row r="378" spans="6:6" ht="15.75" customHeight="1" x14ac:dyDescent="0.25">
      <c r="F378" s="56"/>
    </row>
    <row r="379" spans="6:6" ht="15.75" customHeight="1" x14ac:dyDescent="0.25">
      <c r="F379" s="56"/>
    </row>
    <row r="380" spans="6:6" ht="15.75" customHeight="1" x14ac:dyDescent="0.25">
      <c r="F380" s="56"/>
    </row>
    <row r="381" spans="6:6" ht="15.75" customHeight="1" x14ac:dyDescent="0.25">
      <c r="F381" s="56"/>
    </row>
    <row r="382" spans="6:6" ht="15.75" customHeight="1" x14ac:dyDescent="0.25">
      <c r="F382" s="56"/>
    </row>
    <row r="383" spans="6:6" ht="15.75" customHeight="1" x14ac:dyDescent="0.25">
      <c r="F383" s="56"/>
    </row>
    <row r="384" spans="6:6" ht="15.75" customHeight="1" x14ac:dyDescent="0.25">
      <c r="F384" s="56"/>
    </row>
    <row r="385" spans="6:6" ht="15.75" customHeight="1" x14ac:dyDescent="0.25">
      <c r="F385" s="56"/>
    </row>
    <row r="386" spans="6:6" ht="15.75" customHeight="1" x14ac:dyDescent="0.25">
      <c r="F386" s="56"/>
    </row>
    <row r="387" spans="6:6" ht="15.75" customHeight="1" x14ac:dyDescent="0.25">
      <c r="F387" s="56"/>
    </row>
    <row r="388" spans="6:6" ht="15.75" customHeight="1" x14ac:dyDescent="0.25">
      <c r="F388" s="56"/>
    </row>
    <row r="389" spans="6:6" ht="15.75" customHeight="1" x14ac:dyDescent="0.25">
      <c r="F389" s="56"/>
    </row>
    <row r="390" spans="6:6" ht="15.75" customHeight="1" x14ac:dyDescent="0.25">
      <c r="F390" s="56"/>
    </row>
    <row r="391" spans="6:6" ht="15.75" customHeight="1" x14ac:dyDescent="0.25">
      <c r="F391" s="56"/>
    </row>
    <row r="392" spans="6:6" ht="15.75" customHeight="1" x14ac:dyDescent="0.25">
      <c r="F392" s="56"/>
    </row>
    <row r="393" spans="6:6" ht="15.75" customHeight="1" x14ac:dyDescent="0.25">
      <c r="F393" s="56"/>
    </row>
    <row r="394" spans="6:6" ht="15.75" customHeight="1" x14ac:dyDescent="0.25">
      <c r="F394" s="56"/>
    </row>
    <row r="395" spans="6:6" ht="15.75" customHeight="1" x14ac:dyDescent="0.25">
      <c r="F395" s="56"/>
    </row>
    <row r="396" spans="6:6" ht="15.75" customHeight="1" x14ac:dyDescent="0.25">
      <c r="F396" s="56"/>
    </row>
    <row r="397" spans="6:6" ht="15.75" customHeight="1" x14ac:dyDescent="0.25">
      <c r="F397" s="56"/>
    </row>
    <row r="398" spans="6:6" ht="15.75" customHeight="1" x14ac:dyDescent="0.25">
      <c r="F398" s="56"/>
    </row>
    <row r="399" spans="6:6" ht="15.75" customHeight="1" x14ac:dyDescent="0.25">
      <c r="F399" s="56"/>
    </row>
    <row r="400" spans="6:6" ht="15.75" customHeight="1" x14ac:dyDescent="0.25">
      <c r="F400" s="56"/>
    </row>
    <row r="401" spans="6:6" ht="15.75" customHeight="1" x14ac:dyDescent="0.25">
      <c r="F401" s="56"/>
    </row>
    <row r="402" spans="6:6" ht="15.75" customHeight="1" x14ac:dyDescent="0.25">
      <c r="F402" s="56"/>
    </row>
    <row r="403" spans="6:6" ht="15.75" customHeight="1" x14ac:dyDescent="0.25">
      <c r="F403" s="56"/>
    </row>
    <row r="404" spans="6:6" ht="15.75" customHeight="1" x14ac:dyDescent="0.25">
      <c r="F404" s="56"/>
    </row>
    <row r="405" spans="6:6" ht="15.75" customHeight="1" x14ac:dyDescent="0.25">
      <c r="F405" s="56"/>
    </row>
    <row r="406" spans="6:6" ht="15.75" customHeight="1" x14ac:dyDescent="0.25">
      <c r="F406" s="56"/>
    </row>
    <row r="407" spans="6:6" ht="15.75" customHeight="1" x14ac:dyDescent="0.25">
      <c r="F407" s="56"/>
    </row>
    <row r="408" spans="6:6" ht="15.75" customHeight="1" x14ac:dyDescent="0.25">
      <c r="F408" s="56"/>
    </row>
    <row r="409" spans="6:6" ht="15.75" customHeight="1" x14ac:dyDescent="0.25">
      <c r="F409" s="56"/>
    </row>
    <row r="410" spans="6:6" ht="15.75" customHeight="1" x14ac:dyDescent="0.25">
      <c r="F410" s="56"/>
    </row>
    <row r="411" spans="6:6" ht="15.75" customHeight="1" x14ac:dyDescent="0.25">
      <c r="F411" s="56"/>
    </row>
    <row r="412" spans="6:6" ht="15.75" customHeight="1" x14ac:dyDescent="0.25">
      <c r="F412" s="56"/>
    </row>
    <row r="413" spans="6:6" ht="15.75" customHeight="1" x14ac:dyDescent="0.25">
      <c r="F413" s="56"/>
    </row>
    <row r="414" spans="6:6" ht="15.75" customHeight="1" x14ac:dyDescent="0.25">
      <c r="F414" s="56"/>
    </row>
    <row r="415" spans="6:6" ht="15.75" customHeight="1" x14ac:dyDescent="0.25">
      <c r="F415" s="56"/>
    </row>
    <row r="416" spans="6:6" ht="15.75" customHeight="1" x14ac:dyDescent="0.25">
      <c r="F416" s="56"/>
    </row>
    <row r="417" spans="6:6" ht="15.75" customHeight="1" x14ac:dyDescent="0.25">
      <c r="F417" s="56"/>
    </row>
    <row r="418" spans="6:6" ht="15.75" customHeight="1" x14ac:dyDescent="0.25">
      <c r="F418" s="56"/>
    </row>
    <row r="419" spans="6:6" ht="15.75" customHeight="1" x14ac:dyDescent="0.25">
      <c r="F419" s="56"/>
    </row>
    <row r="420" spans="6:6" ht="15.75" customHeight="1" x14ac:dyDescent="0.25">
      <c r="F420" s="56"/>
    </row>
    <row r="421" spans="6:6" ht="15.75" customHeight="1" x14ac:dyDescent="0.25">
      <c r="F421" s="56"/>
    </row>
    <row r="422" spans="6:6" ht="15.75" customHeight="1" x14ac:dyDescent="0.25">
      <c r="F422" s="56"/>
    </row>
    <row r="423" spans="6:6" ht="15.75" customHeight="1" x14ac:dyDescent="0.25">
      <c r="F423" s="56"/>
    </row>
    <row r="424" spans="6:6" ht="15.75" customHeight="1" x14ac:dyDescent="0.25">
      <c r="F424" s="56"/>
    </row>
    <row r="425" spans="6:6" ht="15.75" customHeight="1" x14ac:dyDescent="0.25">
      <c r="F425" s="56"/>
    </row>
    <row r="426" spans="6:6" ht="15.75" customHeight="1" x14ac:dyDescent="0.25">
      <c r="F426" s="56"/>
    </row>
    <row r="427" spans="6:6" ht="15.75" customHeight="1" x14ac:dyDescent="0.25">
      <c r="F427" s="56"/>
    </row>
    <row r="428" spans="6:6" ht="15.75" customHeight="1" x14ac:dyDescent="0.25">
      <c r="F428" s="56"/>
    </row>
    <row r="429" spans="6:6" ht="15.75" customHeight="1" x14ac:dyDescent="0.25">
      <c r="F429" s="56"/>
    </row>
    <row r="430" spans="6:6" ht="15.75" customHeight="1" x14ac:dyDescent="0.25">
      <c r="F430" s="56"/>
    </row>
    <row r="431" spans="6:6" ht="15.75" customHeight="1" x14ac:dyDescent="0.25">
      <c r="F431" s="56"/>
    </row>
    <row r="432" spans="6:6" ht="15.75" customHeight="1" x14ac:dyDescent="0.25">
      <c r="F432" s="56"/>
    </row>
    <row r="433" spans="6:6" ht="15.75" customHeight="1" x14ac:dyDescent="0.25">
      <c r="F433" s="56"/>
    </row>
    <row r="434" spans="6:6" ht="15.75" customHeight="1" x14ac:dyDescent="0.25">
      <c r="F434" s="56"/>
    </row>
    <row r="435" spans="6:6" ht="15.75" customHeight="1" x14ac:dyDescent="0.25">
      <c r="F435" s="56"/>
    </row>
    <row r="436" spans="6:6" ht="15.75" customHeight="1" x14ac:dyDescent="0.25">
      <c r="F436" s="56"/>
    </row>
    <row r="437" spans="6:6" ht="15.75" customHeight="1" x14ac:dyDescent="0.25">
      <c r="F437" s="56"/>
    </row>
    <row r="438" spans="6:6" ht="15.75" customHeight="1" x14ac:dyDescent="0.25">
      <c r="F438" s="56"/>
    </row>
    <row r="439" spans="6:6" ht="15.75" customHeight="1" x14ac:dyDescent="0.25">
      <c r="F439" s="56"/>
    </row>
    <row r="440" spans="6:6" ht="15.75" customHeight="1" x14ac:dyDescent="0.25">
      <c r="F440" s="56"/>
    </row>
    <row r="441" spans="6:6" ht="15.75" customHeight="1" x14ac:dyDescent="0.25">
      <c r="F441" s="56"/>
    </row>
    <row r="442" spans="6:6" ht="15.75" customHeight="1" x14ac:dyDescent="0.25">
      <c r="F442" s="56"/>
    </row>
    <row r="443" spans="6:6" ht="15.75" customHeight="1" x14ac:dyDescent="0.25">
      <c r="F443" s="56"/>
    </row>
    <row r="444" spans="6:6" ht="15.75" customHeight="1" x14ac:dyDescent="0.25">
      <c r="F444" s="56"/>
    </row>
    <row r="445" spans="6:6" ht="15.75" customHeight="1" x14ac:dyDescent="0.25">
      <c r="F445" s="56"/>
    </row>
    <row r="446" spans="6:6" ht="15.75" customHeight="1" x14ac:dyDescent="0.25">
      <c r="F446" s="56"/>
    </row>
    <row r="447" spans="6:6" ht="15.75" customHeight="1" x14ac:dyDescent="0.25">
      <c r="F447" s="56"/>
    </row>
    <row r="448" spans="6:6" ht="15.75" customHeight="1" x14ac:dyDescent="0.25">
      <c r="F448" s="56"/>
    </row>
    <row r="449" spans="6:6" ht="15.75" customHeight="1" x14ac:dyDescent="0.25">
      <c r="F449" s="56"/>
    </row>
    <row r="450" spans="6:6" ht="15.75" customHeight="1" x14ac:dyDescent="0.25">
      <c r="F450" s="56"/>
    </row>
    <row r="451" spans="6:6" ht="15.75" customHeight="1" x14ac:dyDescent="0.25">
      <c r="F451" s="56"/>
    </row>
    <row r="452" spans="6:6" ht="15.75" customHeight="1" x14ac:dyDescent="0.25">
      <c r="F452" s="56"/>
    </row>
    <row r="453" spans="6:6" ht="15.75" customHeight="1" x14ac:dyDescent="0.25">
      <c r="F453" s="56"/>
    </row>
    <row r="454" spans="6:6" ht="15.75" customHeight="1" x14ac:dyDescent="0.25">
      <c r="F454" s="56"/>
    </row>
    <row r="455" spans="6:6" ht="15.75" customHeight="1" x14ac:dyDescent="0.25">
      <c r="F455" s="56"/>
    </row>
    <row r="456" spans="6:6" ht="15.75" customHeight="1" x14ac:dyDescent="0.25">
      <c r="F456" s="56"/>
    </row>
    <row r="457" spans="6:6" ht="15.75" customHeight="1" x14ac:dyDescent="0.25">
      <c r="F457" s="56"/>
    </row>
    <row r="458" spans="6:6" ht="15.75" customHeight="1" x14ac:dyDescent="0.25">
      <c r="F458" s="56"/>
    </row>
    <row r="459" spans="6:6" ht="15.75" customHeight="1" x14ac:dyDescent="0.25">
      <c r="F459" s="56"/>
    </row>
    <row r="460" spans="6:6" ht="15.75" customHeight="1" x14ac:dyDescent="0.25">
      <c r="F460" s="56"/>
    </row>
    <row r="461" spans="6:6" ht="15.75" customHeight="1" x14ac:dyDescent="0.25">
      <c r="F461" s="56"/>
    </row>
    <row r="462" spans="6:6" ht="15.75" customHeight="1" x14ac:dyDescent="0.25">
      <c r="F462" s="56"/>
    </row>
    <row r="463" spans="6:6" ht="15.75" customHeight="1" x14ac:dyDescent="0.25">
      <c r="F463" s="56"/>
    </row>
    <row r="464" spans="6:6" ht="15.75" customHeight="1" x14ac:dyDescent="0.25">
      <c r="F464" s="56"/>
    </row>
    <row r="465" spans="6:6" ht="15.75" customHeight="1" x14ac:dyDescent="0.25">
      <c r="F465" s="56"/>
    </row>
    <row r="466" spans="6:6" ht="15.75" customHeight="1" x14ac:dyDescent="0.25">
      <c r="F466" s="56"/>
    </row>
    <row r="467" spans="6:6" ht="15.75" customHeight="1" x14ac:dyDescent="0.25">
      <c r="F467" s="56"/>
    </row>
    <row r="468" spans="6:6" ht="15.75" customHeight="1" x14ac:dyDescent="0.25">
      <c r="F468" s="56"/>
    </row>
    <row r="469" spans="6:6" ht="15.75" customHeight="1" x14ac:dyDescent="0.25">
      <c r="F469" s="56"/>
    </row>
    <row r="470" spans="6:6" ht="15.75" customHeight="1" x14ac:dyDescent="0.25">
      <c r="F470" s="56"/>
    </row>
    <row r="471" spans="6:6" ht="15.75" customHeight="1" x14ac:dyDescent="0.25">
      <c r="F471" s="56"/>
    </row>
    <row r="472" spans="6:6" ht="15.75" customHeight="1" x14ac:dyDescent="0.25">
      <c r="F472" s="56"/>
    </row>
    <row r="473" spans="6:6" ht="15.75" customHeight="1" x14ac:dyDescent="0.25">
      <c r="F473" s="56"/>
    </row>
    <row r="474" spans="6:6" ht="15.75" customHeight="1" x14ac:dyDescent="0.25">
      <c r="F474" s="56"/>
    </row>
    <row r="475" spans="6:6" ht="15.75" customHeight="1" x14ac:dyDescent="0.25">
      <c r="F475" s="56"/>
    </row>
    <row r="476" spans="6:6" ht="15.75" customHeight="1" x14ac:dyDescent="0.25">
      <c r="F476" s="56"/>
    </row>
    <row r="477" spans="6:6" ht="15.75" customHeight="1" x14ac:dyDescent="0.25">
      <c r="F477" s="56"/>
    </row>
    <row r="478" spans="6:6" ht="15.75" customHeight="1" x14ac:dyDescent="0.25">
      <c r="F478" s="56"/>
    </row>
    <row r="479" spans="6:6" ht="15.75" customHeight="1" x14ac:dyDescent="0.25">
      <c r="F479" s="56"/>
    </row>
    <row r="480" spans="6:6" ht="15.75" customHeight="1" x14ac:dyDescent="0.25">
      <c r="F480" s="56"/>
    </row>
    <row r="481" spans="6:6" ht="15.75" customHeight="1" x14ac:dyDescent="0.25">
      <c r="F481" s="56"/>
    </row>
    <row r="482" spans="6:6" ht="15.75" customHeight="1" x14ac:dyDescent="0.25">
      <c r="F482" s="56"/>
    </row>
    <row r="483" spans="6:6" ht="15.75" customHeight="1" x14ac:dyDescent="0.25">
      <c r="F483" s="56"/>
    </row>
    <row r="484" spans="6:6" ht="15.75" customHeight="1" x14ac:dyDescent="0.25">
      <c r="F484" s="56"/>
    </row>
    <row r="485" spans="6:6" ht="15.75" customHeight="1" x14ac:dyDescent="0.25">
      <c r="F485" s="56"/>
    </row>
    <row r="486" spans="6:6" ht="15.75" customHeight="1" x14ac:dyDescent="0.25">
      <c r="F486" s="56"/>
    </row>
    <row r="487" spans="6:6" ht="15.75" customHeight="1" x14ac:dyDescent="0.25">
      <c r="F487" s="56"/>
    </row>
    <row r="488" spans="6:6" ht="15.75" customHeight="1" x14ac:dyDescent="0.25">
      <c r="F488" s="56"/>
    </row>
    <row r="489" spans="6:6" ht="15.75" customHeight="1" x14ac:dyDescent="0.25">
      <c r="F489" s="56"/>
    </row>
    <row r="490" spans="6:6" ht="15.75" customHeight="1" x14ac:dyDescent="0.25">
      <c r="F490" s="56"/>
    </row>
    <row r="491" spans="6:6" ht="15.75" customHeight="1" x14ac:dyDescent="0.25">
      <c r="F491" s="56"/>
    </row>
    <row r="492" spans="6:6" ht="15.75" customHeight="1" x14ac:dyDescent="0.25">
      <c r="F492" s="56"/>
    </row>
    <row r="493" spans="6:6" ht="15.75" customHeight="1" x14ac:dyDescent="0.25">
      <c r="F493" s="56"/>
    </row>
    <row r="494" spans="6:6" ht="15.75" customHeight="1" x14ac:dyDescent="0.25">
      <c r="F494" s="56"/>
    </row>
    <row r="495" spans="6:6" ht="15.75" customHeight="1" x14ac:dyDescent="0.25">
      <c r="F495" s="56"/>
    </row>
    <row r="496" spans="6:6" ht="15.75" customHeight="1" x14ac:dyDescent="0.25">
      <c r="F496" s="56"/>
    </row>
    <row r="497" spans="6:6" ht="15.75" customHeight="1" x14ac:dyDescent="0.25">
      <c r="F497" s="56"/>
    </row>
    <row r="498" spans="6:6" ht="15.75" customHeight="1" x14ac:dyDescent="0.25">
      <c r="F498" s="56"/>
    </row>
    <row r="499" spans="6:6" ht="15.75" customHeight="1" x14ac:dyDescent="0.25">
      <c r="F499" s="56"/>
    </row>
    <row r="500" spans="6:6" ht="15.75" customHeight="1" x14ac:dyDescent="0.25">
      <c r="F500" s="56"/>
    </row>
    <row r="501" spans="6:6" ht="15.75" customHeight="1" x14ac:dyDescent="0.25">
      <c r="F501" s="56"/>
    </row>
    <row r="502" spans="6:6" ht="15.75" customHeight="1" x14ac:dyDescent="0.25">
      <c r="F502" s="56"/>
    </row>
    <row r="503" spans="6:6" ht="15.75" customHeight="1" x14ac:dyDescent="0.25">
      <c r="F503" s="56"/>
    </row>
    <row r="504" spans="6:6" ht="15.75" customHeight="1" x14ac:dyDescent="0.25">
      <c r="F504" s="56"/>
    </row>
    <row r="505" spans="6:6" ht="15.75" customHeight="1" x14ac:dyDescent="0.25">
      <c r="F505" s="56"/>
    </row>
    <row r="506" spans="6:6" ht="15.75" customHeight="1" x14ac:dyDescent="0.25">
      <c r="F506" s="56"/>
    </row>
    <row r="507" spans="6:6" ht="15.75" customHeight="1" x14ac:dyDescent="0.25">
      <c r="F507" s="56"/>
    </row>
    <row r="508" spans="6:6" ht="15.75" customHeight="1" x14ac:dyDescent="0.25">
      <c r="F508" s="56"/>
    </row>
    <row r="509" spans="6:6" ht="15.75" customHeight="1" x14ac:dyDescent="0.25">
      <c r="F509" s="56"/>
    </row>
    <row r="510" spans="6:6" ht="15.75" customHeight="1" x14ac:dyDescent="0.25">
      <c r="F510" s="56"/>
    </row>
    <row r="511" spans="6:6" ht="15.75" customHeight="1" x14ac:dyDescent="0.25">
      <c r="F511" s="56"/>
    </row>
    <row r="512" spans="6:6" ht="15.75" customHeight="1" x14ac:dyDescent="0.25">
      <c r="F512" s="56"/>
    </row>
    <row r="513" spans="6:6" ht="15.75" customHeight="1" x14ac:dyDescent="0.25">
      <c r="F513" s="56"/>
    </row>
    <row r="514" spans="6:6" ht="15.75" customHeight="1" x14ac:dyDescent="0.25">
      <c r="F514" s="56"/>
    </row>
    <row r="515" spans="6:6" ht="15.75" customHeight="1" x14ac:dyDescent="0.25">
      <c r="F515" s="56"/>
    </row>
    <row r="516" spans="6:6" ht="15.75" customHeight="1" x14ac:dyDescent="0.25">
      <c r="F516" s="56"/>
    </row>
    <row r="517" spans="6:6" ht="15.75" customHeight="1" x14ac:dyDescent="0.25">
      <c r="F517" s="56"/>
    </row>
    <row r="518" spans="6:6" ht="15.75" customHeight="1" x14ac:dyDescent="0.25">
      <c r="F518" s="56"/>
    </row>
    <row r="519" spans="6:6" ht="15.75" customHeight="1" x14ac:dyDescent="0.25">
      <c r="F519" s="56"/>
    </row>
    <row r="520" spans="6:6" ht="15.75" customHeight="1" x14ac:dyDescent="0.25">
      <c r="F520" s="56"/>
    </row>
    <row r="521" spans="6:6" ht="15.75" customHeight="1" x14ac:dyDescent="0.25">
      <c r="F521" s="56"/>
    </row>
    <row r="522" spans="6:6" ht="15.75" customHeight="1" x14ac:dyDescent="0.25">
      <c r="F522" s="56"/>
    </row>
    <row r="523" spans="6:6" ht="15.75" customHeight="1" x14ac:dyDescent="0.25">
      <c r="F523" s="56"/>
    </row>
    <row r="524" spans="6:6" ht="15.75" customHeight="1" x14ac:dyDescent="0.25">
      <c r="F524" s="56"/>
    </row>
    <row r="525" spans="6:6" ht="15.75" customHeight="1" x14ac:dyDescent="0.25">
      <c r="F525" s="56"/>
    </row>
    <row r="526" spans="6:6" ht="15.75" customHeight="1" x14ac:dyDescent="0.25">
      <c r="F526" s="56"/>
    </row>
    <row r="527" spans="6:6" ht="15.75" customHeight="1" x14ac:dyDescent="0.25">
      <c r="F527" s="56"/>
    </row>
    <row r="528" spans="6:6" ht="15.75" customHeight="1" x14ac:dyDescent="0.25">
      <c r="F528" s="56"/>
    </row>
    <row r="529" spans="6:6" ht="15.75" customHeight="1" x14ac:dyDescent="0.25">
      <c r="F529" s="56"/>
    </row>
    <row r="530" spans="6:6" ht="15.75" customHeight="1" x14ac:dyDescent="0.25">
      <c r="F530" s="56"/>
    </row>
    <row r="531" spans="6:6" ht="15.75" customHeight="1" x14ac:dyDescent="0.25">
      <c r="F531" s="56"/>
    </row>
    <row r="532" spans="6:6" ht="15.75" customHeight="1" x14ac:dyDescent="0.25">
      <c r="F532" s="56"/>
    </row>
    <row r="533" spans="6:6" ht="15.75" customHeight="1" x14ac:dyDescent="0.25">
      <c r="F533" s="56"/>
    </row>
    <row r="534" spans="6:6" ht="15.75" customHeight="1" x14ac:dyDescent="0.25">
      <c r="F534" s="56"/>
    </row>
    <row r="535" spans="6:6" ht="15.75" customHeight="1" x14ac:dyDescent="0.25">
      <c r="F535" s="56"/>
    </row>
    <row r="536" spans="6:6" ht="15.75" customHeight="1" x14ac:dyDescent="0.25">
      <c r="F536" s="56"/>
    </row>
    <row r="537" spans="6:6" ht="15.75" customHeight="1" x14ac:dyDescent="0.25">
      <c r="F537" s="56"/>
    </row>
    <row r="538" spans="6:6" ht="15.75" customHeight="1" x14ac:dyDescent="0.25">
      <c r="F538" s="56"/>
    </row>
    <row r="539" spans="6:6" ht="15.75" customHeight="1" x14ac:dyDescent="0.25">
      <c r="F539" s="56"/>
    </row>
    <row r="540" spans="6:6" ht="15.75" customHeight="1" x14ac:dyDescent="0.25">
      <c r="F540" s="56"/>
    </row>
    <row r="541" spans="6:6" ht="15.75" customHeight="1" x14ac:dyDescent="0.25">
      <c r="F541" s="56"/>
    </row>
    <row r="542" spans="6:6" ht="15.75" customHeight="1" x14ac:dyDescent="0.25">
      <c r="F542" s="56"/>
    </row>
    <row r="543" spans="6:6" ht="15.75" customHeight="1" x14ac:dyDescent="0.25">
      <c r="F543" s="56"/>
    </row>
    <row r="544" spans="6:6" ht="15.75" customHeight="1" x14ac:dyDescent="0.25">
      <c r="F544" s="56"/>
    </row>
    <row r="545" spans="6:6" ht="15.75" customHeight="1" x14ac:dyDescent="0.25">
      <c r="F545" s="56"/>
    </row>
    <row r="546" spans="6:6" ht="15.75" customHeight="1" x14ac:dyDescent="0.25">
      <c r="F546" s="56"/>
    </row>
    <row r="547" spans="6:6" ht="15.75" customHeight="1" x14ac:dyDescent="0.25">
      <c r="F547" s="56"/>
    </row>
    <row r="548" spans="6:6" ht="15.75" customHeight="1" x14ac:dyDescent="0.25">
      <c r="F548" s="56"/>
    </row>
    <row r="549" spans="6:6" ht="15.75" customHeight="1" x14ac:dyDescent="0.25">
      <c r="F549" s="56"/>
    </row>
    <row r="550" spans="6:6" ht="15.75" customHeight="1" x14ac:dyDescent="0.25">
      <c r="F550" s="56"/>
    </row>
    <row r="551" spans="6:6" ht="15.75" customHeight="1" x14ac:dyDescent="0.25">
      <c r="F551" s="56"/>
    </row>
    <row r="552" spans="6:6" ht="15.75" customHeight="1" x14ac:dyDescent="0.25">
      <c r="F552" s="56"/>
    </row>
    <row r="553" spans="6:6" ht="15.75" customHeight="1" x14ac:dyDescent="0.25">
      <c r="F553" s="56"/>
    </row>
    <row r="554" spans="6:6" ht="15.75" customHeight="1" x14ac:dyDescent="0.25">
      <c r="F554" s="56"/>
    </row>
    <row r="555" spans="6:6" ht="15.75" customHeight="1" x14ac:dyDescent="0.25">
      <c r="F555" s="56"/>
    </row>
    <row r="556" spans="6:6" ht="15.75" customHeight="1" x14ac:dyDescent="0.25">
      <c r="F556" s="56"/>
    </row>
    <row r="557" spans="6:6" ht="15.75" customHeight="1" x14ac:dyDescent="0.25">
      <c r="F557" s="56"/>
    </row>
    <row r="558" spans="6:6" ht="15.75" customHeight="1" x14ac:dyDescent="0.25">
      <c r="F558" s="56"/>
    </row>
    <row r="559" spans="6:6" ht="15.75" customHeight="1" x14ac:dyDescent="0.25">
      <c r="F559" s="56"/>
    </row>
    <row r="560" spans="6:6" ht="15.75" customHeight="1" x14ac:dyDescent="0.25">
      <c r="F560" s="56"/>
    </row>
    <row r="561" spans="6:6" ht="15.75" customHeight="1" x14ac:dyDescent="0.25">
      <c r="F561" s="56"/>
    </row>
    <row r="562" spans="6:6" ht="15.75" customHeight="1" x14ac:dyDescent="0.25">
      <c r="F562" s="56"/>
    </row>
    <row r="563" spans="6:6" ht="15.75" customHeight="1" x14ac:dyDescent="0.25">
      <c r="F563" s="56"/>
    </row>
    <row r="564" spans="6:6" ht="15.75" customHeight="1" x14ac:dyDescent="0.25">
      <c r="F564" s="56"/>
    </row>
    <row r="565" spans="6:6" ht="15.75" customHeight="1" x14ac:dyDescent="0.25">
      <c r="F565" s="56"/>
    </row>
    <row r="566" spans="6:6" ht="15.75" customHeight="1" x14ac:dyDescent="0.25">
      <c r="F566" s="56"/>
    </row>
    <row r="567" spans="6:6" ht="15.75" customHeight="1" x14ac:dyDescent="0.25">
      <c r="F567" s="56"/>
    </row>
    <row r="568" spans="6:6" ht="15.75" customHeight="1" x14ac:dyDescent="0.25">
      <c r="F568" s="56"/>
    </row>
    <row r="569" spans="6:6" ht="15.75" customHeight="1" x14ac:dyDescent="0.25">
      <c r="F569" s="56"/>
    </row>
    <row r="570" spans="6:6" ht="15.75" customHeight="1" x14ac:dyDescent="0.25">
      <c r="F570" s="56"/>
    </row>
    <row r="571" spans="6:6" ht="15.75" customHeight="1" x14ac:dyDescent="0.25">
      <c r="F571" s="56"/>
    </row>
    <row r="572" spans="6:6" ht="15.75" customHeight="1" x14ac:dyDescent="0.25">
      <c r="F572" s="56"/>
    </row>
    <row r="573" spans="6:6" ht="15.75" customHeight="1" x14ac:dyDescent="0.25">
      <c r="F573" s="56"/>
    </row>
    <row r="574" spans="6:6" ht="15.75" customHeight="1" x14ac:dyDescent="0.25">
      <c r="F574" s="56"/>
    </row>
    <row r="575" spans="6:6" ht="15.75" customHeight="1" x14ac:dyDescent="0.25">
      <c r="F575" s="56"/>
    </row>
    <row r="576" spans="6:6" ht="15.75" customHeight="1" x14ac:dyDescent="0.25">
      <c r="F576" s="56"/>
    </row>
    <row r="577" spans="6:6" ht="15.75" customHeight="1" x14ac:dyDescent="0.25">
      <c r="F577" s="56"/>
    </row>
    <row r="578" spans="6:6" ht="15.75" customHeight="1" x14ac:dyDescent="0.25">
      <c r="F578" s="56"/>
    </row>
    <row r="579" spans="6:6" ht="15.75" customHeight="1" x14ac:dyDescent="0.25">
      <c r="F579" s="56"/>
    </row>
    <row r="580" spans="6:6" ht="15.75" customHeight="1" x14ac:dyDescent="0.25">
      <c r="F580" s="56"/>
    </row>
    <row r="581" spans="6:6" ht="15.75" customHeight="1" x14ac:dyDescent="0.25">
      <c r="F581" s="56"/>
    </row>
    <row r="582" spans="6:6" ht="15.75" customHeight="1" x14ac:dyDescent="0.25">
      <c r="F582" s="56"/>
    </row>
    <row r="583" spans="6:6" ht="15.75" customHeight="1" x14ac:dyDescent="0.25">
      <c r="F583" s="56"/>
    </row>
    <row r="584" spans="6:6" ht="15.75" customHeight="1" x14ac:dyDescent="0.25">
      <c r="F584" s="56"/>
    </row>
    <row r="585" spans="6:6" ht="15.75" customHeight="1" x14ac:dyDescent="0.25">
      <c r="F585" s="56"/>
    </row>
    <row r="586" spans="6:6" ht="15.75" customHeight="1" x14ac:dyDescent="0.25">
      <c r="F586" s="56"/>
    </row>
    <row r="587" spans="6:6" ht="15.75" customHeight="1" x14ac:dyDescent="0.25">
      <c r="F587" s="56"/>
    </row>
    <row r="588" spans="6:6" ht="15.75" customHeight="1" x14ac:dyDescent="0.25">
      <c r="F588" s="56"/>
    </row>
    <row r="589" spans="6:6" ht="15.75" customHeight="1" x14ac:dyDescent="0.25">
      <c r="F589" s="56"/>
    </row>
    <row r="590" spans="6:6" ht="15.75" customHeight="1" x14ac:dyDescent="0.25">
      <c r="F590" s="56"/>
    </row>
    <row r="591" spans="6:6" ht="15.75" customHeight="1" x14ac:dyDescent="0.25">
      <c r="F591" s="56"/>
    </row>
    <row r="592" spans="6:6" ht="15.75" customHeight="1" x14ac:dyDescent="0.25">
      <c r="F592" s="56"/>
    </row>
    <row r="593" spans="6:6" ht="15.75" customHeight="1" x14ac:dyDescent="0.25">
      <c r="F593" s="56"/>
    </row>
    <row r="594" spans="6:6" ht="15.75" customHeight="1" x14ac:dyDescent="0.25">
      <c r="F594" s="56"/>
    </row>
    <row r="595" spans="6:6" ht="15.75" customHeight="1" x14ac:dyDescent="0.25">
      <c r="F595" s="56"/>
    </row>
    <row r="596" spans="6:6" ht="15.75" customHeight="1" x14ac:dyDescent="0.25">
      <c r="F596" s="56"/>
    </row>
    <row r="597" spans="6:6" ht="15.75" customHeight="1" x14ac:dyDescent="0.25">
      <c r="F597" s="56"/>
    </row>
    <row r="598" spans="6:6" ht="15.75" customHeight="1" x14ac:dyDescent="0.25">
      <c r="F598" s="56"/>
    </row>
    <row r="599" spans="6:6" ht="15.75" customHeight="1" x14ac:dyDescent="0.25">
      <c r="F599" s="56"/>
    </row>
    <row r="600" spans="6:6" ht="15.75" customHeight="1" x14ac:dyDescent="0.25">
      <c r="F600" s="56"/>
    </row>
    <row r="601" spans="6:6" ht="15.75" customHeight="1" x14ac:dyDescent="0.25">
      <c r="F601" s="56"/>
    </row>
    <row r="602" spans="6:6" ht="15.75" customHeight="1" x14ac:dyDescent="0.25">
      <c r="F602" s="56"/>
    </row>
    <row r="603" spans="6:6" ht="15.75" customHeight="1" x14ac:dyDescent="0.25">
      <c r="F603" s="56"/>
    </row>
    <row r="604" spans="6:6" ht="15.75" customHeight="1" x14ac:dyDescent="0.25">
      <c r="F604" s="56"/>
    </row>
    <row r="605" spans="6:6" ht="15.75" customHeight="1" x14ac:dyDescent="0.25">
      <c r="F605" s="56"/>
    </row>
    <row r="606" spans="6:6" ht="15.75" customHeight="1" x14ac:dyDescent="0.25">
      <c r="F606" s="56"/>
    </row>
    <row r="607" spans="6:6" ht="15.75" customHeight="1" x14ac:dyDescent="0.25">
      <c r="F607" s="56"/>
    </row>
    <row r="608" spans="6:6" ht="15.75" customHeight="1" x14ac:dyDescent="0.25">
      <c r="F608" s="56"/>
    </row>
    <row r="609" spans="6:6" ht="15.75" customHeight="1" x14ac:dyDescent="0.25">
      <c r="F609" s="56"/>
    </row>
    <row r="610" spans="6:6" ht="15.75" customHeight="1" x14ac:dyDescent="0.25">
      <c r="F610" s="56"/>
    </row>
    <row r="611" spans="6:6" ht="15.75" customHeight="1" x14ac:dyDescent="0.25">
      <c r="F611" s="56"/>
    </row>
    <row r="612" spans="6:6" ht="15.75" customHeight="1" x14ac:dyDescent="0.25">
      <c r="F612" s="56"/>
    </row>
    <row r="613" spans="6:6" ht="15.75" customHeight="1" x14ac:dyDescent="0.25">
      <c r="F613" s="56"/>
    </row>
    <row r="614" spans="6:6" ht="15.75" customHeight="1" x14ac:dyDescent="0.25">
      <c r="F614" s="56"/>
    </row>
    <row r="615" spans="6:6" ht="15.75" customHeight="1" x14ac:dyDescent="0.25">
      <c r="F615" s="56"/>
    </row>
    <row r="616" spans="6:6" ht="15.75" customHeight="1" x14ac:dyDescent="0.25">
      <c r="F616" s="56"/>
    </row>
    <row r="617" spans="6:6" ht="15.75" customHeight="1" x14ac:dyDescent="0.25">
      <c r="F617" s="56"/>
    </row>
    <row r="618" spans="6:6" ht="15.75" customHeight="1" x14ac:dyDescent="0.25">
      <c r="F618" s="56"/>
    </row>
    <row r="619" spans="6:6" ht="15.75" customHeight="1" x14ac:dyDescent="0.25">
      <c r="F619" s="56"/>
    </row>
    <row r="620" spans="6:6" ht="15.75" customHeight="1" x14ac:dyDescent="0.25">
      <c r="F620" s="56"/>
    </row>
    <row r="621" spans="6:6" ht="15.75" customHeight="1" x14ac:dyDescent="0.25">
      <c r="F621" s="56"/>
    </row>
    <row r="622" spans="6:6" ht="15.75" customHeight="1" x14ac:dyDescent="0.25">
      <c r="F622" s="56"/>
    </row>
    <row r="623" spans="6:6" ht="15.75" customHeight="1" x14ac:dyDescent="0.25">
      <c r="F623" s="56"/>
    </row>
    <row r="624" spans="6:6" ht="15.75" customHeight="1" x14ac:dyDescent="0.25">
      <c r="F624" s="56"/>
    </row>
    <row r="625" spans="6:6" ht="15.75" customHeight="1" x14ac:dyDescent="0.25">
      <c r="F625" s="56"/>
    </row>
    <row r="626" spans="6:6" ht="15.75" customHeight="1" x14ac:dyDescent="0.25">
      <c r="F626" s="56"/>
    </row>
    <row r="627" spans="6:6" ht="15.75" customHeight="1" x14ac:dyDescent="0.25">
      <c r="F627" s="56"/>
    </row>
    <row r="628" spans="6:6" ht="15.75" customHeight="1" x14ac:dyDescent="0.25">
      <c r="F628" s="56"/>
    </row>
    <row r="629" spans="6:6" ht="15.75" customHeight="1" x14ac:dyDescent="0.25">
      <c r="F629" s="56"/>
    </row>
    <row r="630" spans="6:6" ht="15.75" customHeight="1" x14ac:dyDescent="0.25">
      <c r="F630" s="56"/>
    </row>
    <row r="631" spans="6:6" ht="15.75" customHeight="1" x14ac:dyDescent="0.25">
      <c r="F631" s="56"/>
    </row>
    <row r="632" spans="6:6" ht="15.75" customHeight="1" x14ac:dyDescent="0.25">
      <c r="F632" s="56"/>
    </row>
    <row r="633" spans="6:6" ht="15.75" customHeight="1" x14ac:dyDescent="0.25">
      <c r="F633" s="56"/>
    </row>
    <row r="634" spans="6:6" ht="15.75" customHeight="1" x14ac:dyDescent="0.25">
      <c r="F634" s="56"/>
    </row>
    <row r="635" spans="6:6" ht="15.75" customHeight="1" x14ac:dyDescent="0.25">
      <c r="F635" s="56"/>
    </row>
    <row r="636" spans="6:6" ht="15.75" customHeight="1" x14ac:dyDescent="0.25">
      <c r="F636" s="56"/>
    </row>
    <row r="637" spans="6:6" ht="15.75" customHeight="1" x14ac:dyDescent="0.25">
      <c r="F637" s="56"/>
    </row>
    <row r="638" spans="6:6" ht="15.75" customHeight="1" x14ac:dyDescent="0.25">
      <c r="F638" s="56"/>
    </row>
    <row r="639" spans="6:6" ht="15.75" customHeight="1" x14ac:dyDescent="0.25">
      <c r="F639" s="56"/>
    </row>
    <row r="640" spans="6:6" ht="15.75" customHeight="1" x14ac:dyDescent="0.25">
      <c r="F640" s="56"/>
    </row>
    <row r="641" spans="6:6" ht="15.75" customHeight="1" x14ac:dyDescent="0.25">
      <c r="F641" s="56"/>
    </row>
    <row r="642" spans="6:6" ht="15.75" customHeight="1" x14ac:dyDescent="0.25">
      <c r="F642" s="56"/>
    </row>
    <row r="643" spans="6:6" ht="15.75" customHeight="1" x14ac:dyDescent="0.25">
      <c r="F643" s="56"/>
    </row>
    <row r="644" spans="6:6" ht="15.75" customHeight="1" x14ac:dyDescent="0.25">
      <c r="F644" s="56"/>
    </row>
    <row r="645" spans="6:6" ht="15.75" customHeight="1" x14ac:dyDescent="0.25">
      <c r="F645" s="56"/>
    </row>
    <row r="646" spans="6:6" ht="15.75" customHeight="1" x14ac:dyDescent="0.25">
      <c r="F646" s="56"/>
    </row>
    <row r="647" spans="6:6" ht="15.75" customHeight="1" x14ac:dyDescent="0.25">
      <c r="F647" s="56"/>
    </row>
    <row r="648" spans="6:6" ht="15.75" customHeight="1" x14ac:dyDescent="0.25">
      <c r="F648" s="56"/>
    </row>
    <row r="649" spans="6:6" ht="15.75" customHeight="1" x14ac:dyDescent="0.25">
      <c r="F649" s="56"/>
    </row>
    <row r="650" spans="6:6" ht="15.75" customHeight="1" x14ac:dyDescent="0.25">
      <c r="F650" s="56"/>
    </row>
    <row r="651" spans="6:6" ht="15.75" customHeight="1" x14ac:dyDescent="0.25">
      <c r="F651" s="56"/>
    </row>
    <row r="652" spans="6:6" ht="15.75" customHeight="1" x14ac:dyDescent="0.25">
      <c r="F652" s="56"/>
    </row>
    <row r="653" spans="6:6" ht="15.75" customHeight="1" x14ac:dyDescent="0.25">
      <c r="F653" s="56"/>
    </row>
    <row r="654" spans="6:6" ht="15.75" customHeight="1" x14ac:dyDescent="0.25">
      <c r="F654" s="56"/>
    </row>
    <row r="655" spans="6:6" ht="15.75" customHeight="1" x14ac:dyDescent="0.25">
      <c r="F655" s="56"/>
    </row>
    <row r="656" spans="6:6" ht="15.75" customHeight="1" x14ac:dyDescent="0.25">
      <c r="F656" s="56"/>
    </row>
    <row r="657" spans="6:6" ht="15.75" customHeight="1" x14ac:dyDescent="0.25">
      <c r="F657" s="56"/>
    </row>
    <row r="658" spans="6:6" ht="15.75" customHeight="1" x14ac:dyDescent="0.25">
      <c r="F658" s="56"/>
    </row>
    <row r="659" spans="6:6" ht="15.75" customHeight="1" x14ac:dyDescent="0.25">
      <c r="F659" s="56"/>
    </row>
    <row r="660" spans="6:6" ht="15.75" customHeight="1" x14ac:dyDescent="0.25">
      <c r="F660" s="56"/>
    </row>
    <row r="661" spans="6:6" ht="15.75" customHeight="1" x14ac:dyDescent="0.25">
      <c r="F661" s="56"/>
    </row>
    <row r="662" spans="6:6" ht="15.75" customHeight="1" x14ac:dyDescent="0.25">
      <c r="F662" s="56"/>
    </row>
    <row r="663" spans="6:6" ht="15.75" customHeight="1" x14ac:dyDescent="0.25">
      <c r="F663" s="56"/>
    </row>
    <row r="664" spans="6:6" ht="15.75" customHeight="1" x14ac:dyDescent="0.25">
      <c r="F664" s="56"/>
    </row>
    <row r="665" spans="6:6" ht="15.75" customHeight="1" x14ac:dyDescent="0.25">
      <c r="F665" s="56"/>
    </row>
    <row r="666" spans="6:6" ht="15.75" customHeight="1" x14ac:dyDescent="0.25">
      <c r="F666" s="56"/>
    </row>
    <row r="667" spans="6:6" ht="15.75" customHeight="1" x14ac:dyDescent="0.25">
      <c r="F667" s="56"/>
    </row>
    <row r="668" spans="6:6" ht="15.75" customHeight="1" x14ac:dyDescent="0.25">
      <c r="F668" s="56"/>
    </row>
    <row r="669" spans="6:6" ht="15.75" customHeight="1" x14ac:dyDescent="0.25">
      <c r="F669" s="56"/>
    </row>
    <row r="670" spans="6:6" ht="15.75" customHeight="1" x14ac:dyDescent="0.25">
      <c r="F670" s="56"/>
    </row>
    <row r="671" spans="6:6" ht="15.75" customHeight="1" x14ac:dyDescent="0.25">
      <c r="F671" s="56"/>
    </row>
    <row r="672" spans="6:6" ht="15.75" customHeight="1" x14ac:dyDescent="0.25">
      <c r="F672" s="56"/>
    </row>
    <row r="673" spans="6:6" ht="15.75" customHeight="1" x14ac:dyDescent="0.25">
      <c r="F673" s="56"/>
    </row>
    <row r="674" spans="6:6" ht="15.75" customHeight="1" x14ac:dyDescent="0.25">
      <c r="F674" s="56"/>
    </row>
    <row r="675" spans="6:6" ht="15.75" customHeight="1" x14ac:dyDescent="0.25">
      <c r="F675" s="56"/>
    </row>
    <row r="676" spans="6:6" ht="15.75" customHeight="1" x14ac:dyDescent="0.25">
      <c r="F676" s="56"/>
    </row>
    <row r="677" spans="6:6" ht="15.75" customHeight="1" x14ac:dyDescent="0.25">
      <c r="F677" s="56"/>
    </row>
    <row r="678" spans="6:6" ht="15.75" customHeight="1" x14ac:dyDescent="0.25">
      <c r="F678" s="56"/>
    </row>
    <row r="679" spans="6:6" ht="15.75" customHeight="1" x14ac:dyDescent="0.25">
      <c r="F679" s="56"/>
    </row>
    <row r="680" spans="6:6" ht="15.75" customHeight="1" x14ac:dyDescent="0.25">
      <c r="F680" s="56"/>
    </row>
    <row r="681" spans="6:6" ht="15.75" customHeight="1" x14ac:dyDescent="0.25">
      <c r="F681" s="56"/>
    </row>
    <row r="682" spans="6:6" ht="15.75" customHeight="1" x14ac:dyDescent="0.25">
      <c r="F682" s="56"/>
    </row>
    <row r="683" spans="6:6" ht="15.75" customHeight="1" x14ac:dyDescent="0.25">
      <c r="F683" s="56"/>
    </row>
    <row r="684" spans="6:6" ht="15.75" customHeight="1" x14ac:dyDescent="0.25">
      <c r="F684" s="56"/>
    </row>
    <row r="685" spans="6:6" ht="15.75" customHeight="1" x14ac:dyDescent="0.25">
      <c r="F685" s="56"/>
    </row>
    <row r="686" spans="6:6" ht="15.75" customHeight="1" x14ac:dyDescent="0.25">
      <c r="F686" s="56"/>
    </row>
    <row r="687" spans="6:6" ht="15.75" customHeight="1" x14ac:dyDescent="0.25">
      <c r="F687" s="56"/>
    </row>
    <row r="688" spans="6:6" ht="15.75" customHeight="1" x14ac:dyDescent="0.25">
      <c r="F688" s="56"/>
    </row>
    <row r="689" spans="6:6" ht="15.75" customHeight="1" x14ac:dyDescent="0.25">
      <c r="F689" s="56"/>
    </row>
    <row r="690" spans="6:6" ht="15.75" customHeight="1" x14ac:dyDescent="0.25">
      <c r="F690" s="56"/>
    </row>
    <row r="691" spans="6:6" ht="15.75" customHeight="1" x14ac:dyDescent="0.25">
      <c r="F691" s="56"/>
    </row>
    <row r="692" spans="6:6" ht="15.75" customHeight="1" x14ac:dyDescent="0.25">
      <c r="F692" s="56"/>
    </row>
    <row r="693" spans="6:6" ht="15.75" customHeight="1" x14ac:dyDescent="0.25">
      <c r="F693" s="56"/>
    </row>
    <row r="694" spans="6:6" ht="15.75" customHeight="1" x14ac:dyDescent="0.25">
      <c r="F694" s="56"/>
    </row>
    <row r="695" spans="6:6" ht="15.75" customHeight="1" x14ac:dyDescent="0.25">
      <c r="F695" s="56"/>
    </row>
    <row r="696" spans="6:6" ht="15.75" customHeight="1" x14ac:dyDescent="0.25">
      <c r="F696" s="56"/>
    </row>
    <row r="697" spans="6:6" ht="15.75" customHeight="1" x14ac:dyDescent="0.25">
      <c r="F697" s="56"/>
    </row>
    <row r="698" spans="6:6" ht="15.75" customHeight="1" x14ac:dyDescent="0.25">
      <c r="F698" s="56"/>
    </row>
    <row r="699" spans="6:6" ht="15.75" customHeight="1" x14ac:dyDescent="0.25">
      <c r="F699" s="56"/>
    </row>
    <row r="700" spans="6:6" ht="15.75" customHeight="1" x14ac:dyDescent="0.25">
      <c r="F700" s="56"/>
    </row>
    <row r="701" spans="6:6" ht="15.75" customHeight="1" x14ac:dyDescent="0.25">
      <c r="F701" s="56"/>
    </row>
    <row r="702" spans="6:6" ht="15.75" customHeight="1" x14ac:dyDescent="0.25">
      <c r="F702" s="56"/>
    </row>
    <row r="703" spans="6:6" ht="15.75" customHeight="1" x14ac:dyDescent="0.25">
      <c r="F703" s="56"/>
    </row>
    <row r="704" spans="6:6" ht="15.75" customHeight="1" x14ac:dyDescent="0.25">
      <c r="F704" s="56"/>
    </row>
    <row r="705" spans="6:6" ht="15.75" customHeight="1" x14ac:dyDescent="0.25">
      <c r="F705" s="56"/>
    </row>
    <row r="706" spans="6:6" ht="15.75" customHeight="1" x14ac:dyDescent="0.25">
      <c r="F706" s="56"/>
    </row>
    <row r="707" spans="6:6" ht="15.75" customHeight="1" x14ac:dyDescent="0.25">
      <c r="F707" s="56"/>
    </row>
    <row r="708" spans="6:6" ht="15.75" customHeight="1" x14ac:dyDescent="0.25">
      <c r="F708" s="56"/>
    </row>
    <row r="709" spans="6:6" ht="15.75" customHeight="1" x14ac:dyDescent="0.25">
      <c r="F709" s="56"/>
    </row>
    <row r="710" spans="6:6" ht="15.75" customHeight="1" x14ac:dyDescent="0.25">
      <c r="F710" s="56"/>
    </row>
    <row r="711" spans="6:6" ht="15.75" customHeight="1" x14ac:dyDescent="0.25">
      <c r="F711" s="56"/>
    </row>
    <row r="712" spans="6:6" ht="15.75" customHeight="1" x14ac:dyDescent="0.25">
      <c r="F712" s="56"/>
    </row>
    <row r="713" spans="6:6" ht="15.75" customHeight="1" x14ac:dyDescent="0.25">
      <c r="F713" s="56"/>
    </row>
    <row r="714" spans="6:6" ht="15.75" customHeight="1" x14ac:dyDescent="0.25">
      <c r="F714" s="56"/>
    </row>
    <row r="715" spans="6:6" ht="15.75" customHeight="1" x14ac:dyDescent="0.25">
      <c r="F715" s="56"/>
    </row>
    <row r="716" spans="6:6" ht="15.75" customHeight="1" x14ac:dyDescent="0.25">
      <c r="F716" s="56"/>
    </row>
    <row r="717" spans="6:6" ht="15.75" customHeight="1" x14ac:dyDescent="0.25">
      <c r="F717" s="56"/>
    </row>
    <row r="718" spans="6:6" ht="15.75" customHeight="1" x14ac:dyDescent="0.25">
      <c r="F718" s="56"/>
    </row>
    <row r="719" spans="6:6" ht="15.75" customHeight="1" x14ac:dyDescent="0.25">
      <c r="F719" s="56"/>
    </row>
    <row r="720" spans="6:6" ht="15.75" customHeight="1" x14ac:dyDescent="0.25">
      <c r="F720" s="56"/>
    </row>
    <row r="721" spans="6:6" ht="15.75" customHeight="1" x14ac:dyDescent="0.25">
      <c r="F721" s="56"/>
    </row>
    <row r="722" spans="6:6" ht="15.75" customHeight="1" x14ac:dyDescent="0.25">
      <c r="F722" s="56"/>
    </row>
    <row r="723" spans="6:6" ht="15.75" customHeight="1" x14ac:dyDescent="0.25">
      <c r="F723" s="56"/>
    </row>
    <row r="724" spans="6:6" ht="15.75" customHeight="1" x14ac:dyDescent="0.25">
      <c r="F724" s="56"/>
    </row>
    <row r="725" spans="6:6" ht="15.75" customHeight="1" x14ac:dyDescent="0.25">
      <c r="F725" s="56"/>
    </row>
    <row r="726" spans="6:6" ht="15.75" customHeight="1" x14ac:dyDescent="0.25">
      <c r="F726" s="56"/>
    </row>
    <row r="727" spans="6:6" ht="15.75" customHeight="1" x14ac:dyDescent="0.25">
      <c r="F727" s="56"/>
    </row>
    <row r="728" spans="6:6" ht="15.75" customHeight="1" x14ac:dyDescent="0.25">
      <c r="F728" s="56"/>
    </row>
    <row r="729" spans="6:6" ht="15.75" customHeight="1" x14ac:dyDescent="0.25">
      <c r="F729" s="56"/>
    </row>
    <row r="730" spans="6:6" ht="15.75" customHeight="1" x14ac:dyDescent="0.25">
      <c r="F730" s="56"/>
    </row>
    <row r="731" spans="6:6" ht="15.75" customHeight="1" x14ac:dyDescent="0.25">
      <c r="F731" s="56"/>
    </row>
    <row r="732" spans="6:6" ht="15.75" customHeight="1" x14ac:dyDescent="0.25">
      <c r="F732" s="56"/>
    </row>
    <row r="733" spans="6:6" ht="15.75" customHeight="1" x14ac:dyDescent="0.25">
      <c r="F733" s="56"/>
    </row>
    <row r="734" spans="6:6" ht="15.75" customHeight="1" x14ac:dyDescent="0.25">
      <c r="F734" s="56"/>
    </row>
    <row r="735" spans="6:6" ht="15.75" customHeight="1" x14ac:dyDescent="0.25">
      <c r="F735" s="56"/>
    </row>
    <row r="736" spans="6:6" ht="15.75" customHeight="1" x14ac:dyDescent="0.25">
      <c r="F736" s="56"/>
    </row>
    <row r="737" spans="6:6" ht="15.75" customHeight="1" x14ac:dyDescent="0.25">
      <c r="F737" s="56"/>
    </row>
    <row r="738" spans="6:6" ht="15.75" customHeight="1" x14ac:dyDescent="0.25">
      <c r="F738" s="56"/>
    </row>
    <row r="739" spans="6:6" ht="15.75" customHeight="1" x14ac:dyDescent="0.25">
      <c r="F739" s="56"/>
    </row>
    <row r="740" spans="6:6" ht="15.75" customHeight="1" x14ac:dyDescent="0.25">
      <c r="F740" s="56"/>
    </row>
    <row r="741" spans="6:6" ht="15.75" customHeight="1" x14ac:dyDescent="0.25">
      <c r="F741" s="56"/>
    </row>
    <row r="742" spans="6:6" ht="15.75" customHeight="1" x14ac:dyDescent="0.25">
      <c r="F742" s="56"/>
    </row>
    <row r="743" spans="6:6" ht="15.75" customHeight="1" x14ac:dyDescent="0.25">
      <c r="F743" s="56"/>
    </row>
    <row r="744" spans="6:6" ht="15.75" customHeight="1" x14ac:dyDescent="0.25">
      <c r="F744" s="56"/>
    </row>
    <row r="745" spans="6:6" ht="15.75" customHeight="1" x14ac:dyDescent="0.25">
      <c r="F745" s="56"/>
    </row>
    <row r="746" spans="6:6" ht="15.75" customHeight="1" x14ac:dyDescent="0.25">
      <c r="F746" s="56"/>
    </row>
    <row r="747" spans="6:6" ht="15.75" customHeight="1" x14ac:dyDescent="0.25">
      <c r="F747" s="56"/>
    </row>
    <row r="748" spans="6:6" ht="15.75" customHeight="1" x14ac:dyDescent="0.25">
      <c r="F748" s="56"/>
    </row>
    <row r="749" spans="6:6" ht="15.75" customHeight="1" x14ac:dyDescent="0.25">
      <c r="F749" s="56"/>
    </row>
    <row r="750" spans="6:6" ht="15.75" customHeight="1" x14ac:dyDescent="0.25">
      <c r="F750" s="56"/>
    </row>
    <row r="751" spans="6:6" ht="15.75" customHeight="1" x14ac:dyDescent="0.25">
      <c r="F751" s="56"/>
    </row>
    <row r="752" spans="6:6" ht="15.75" customHeight="1" x14ac:dyDescent="0.25">
      <c r="F752" s="56"/>
    </row>
    <row r="753" spans="6:6" ht="15.75" customHeight="1" x14ac:dyDescent="0.25">
      <c r="F753" s="56"/>
    </row>
    <row r="754" spans="6:6" ht="15.75" customHeight="1" x14ac:dyDescent="0.25">
      <c r="F754" s="56"/>
    </row>
    <row r="755" spans="6:6" ht="15.75" customHeight="1" x14ac:dyDescent="0.25">
      <c r="F755" s="56"/>
    </row>
    <row r="756" spans="6:6" ht="15.75" customHeight="1" x14ac:dyDescent="0.25">
      <c r="F756" s="56"/>
    </row>
    <row r="757" spans="6:6" ht="15.75" customHeight="1" x14ac:dyDescent="0.25">
      <c r="F757" s="56"/>
    </row>
    <row r="758" spans="6:6" ht="15.75" customHeight="1" x14ac:dyDescent="0.25">
      <c r="F758" s="56"/>
    </row>
    <row r="759" spans="6:6" ht="15.75" customHeight="1" x14ac:dyDescent="0.25">
      <c r="F759" s="56"/>
    </row>
    <row r="760" spans="6:6" ht="15.75" customHeight="1" x14ac:dyDescent="0.25">
      <c r="F760" s="56"/>
    </row>
    <row r="761" spans="6:6" ht="15.75" customHeight="1" x14ac:dyDescent="0.25">
      <c r="F761" s="56"/>
    </row>
    <row r="762" spans="6:6" ht="15.75" customHeight="1" x14ac:dyDescent="0.25">
      <c r="F762" s="56"/>
    </row>
    <row r="763" spans="6:6" ht="15.75" customHeight="1" x14ac:dyDescent="0.25">
      <c r="F763" s="56"/>
    </row>
    <row r="764" spans="6:6" ht="15.75" customHeight="1" x14ac:dyDescent="0.25">
      <c r="F764" s="56"/>
    </row>
    <row r="765" spans="6:6" ht="15.75" customHeight="1" x14ac:dyDescent="0.25">
      <c r="F765" s="56"/>
    </row>
    <row r="766" spans="6:6" ht="15.75" customHeight="1" x14ac:dyDescent="0.25">
      <c r="F766" s="56"/>
    </row>
    <row r="767" spans="6:6" ht="15.75" customHeight="1" x14ac:dyDescent="0.25">
      <c r="F767" s="56"/>
    </row>
    <row r="768" spans="6:6" ht="15.75" customHeight="1" x14ac:dyDescent="0.25">
      <c r="F768" s="56"/>
    </row>
    <row r="769" spans="6:6" ht="15.75" customHeight="1" x14ac:dyDescent="0.25">
      <c r="F769" s="56"/>
    </row>
    <row r="770" spans="6:6" ht="15.75" customHeight="1" x14ac:dyDescent="0.25">
      <c r="F770" s="56"/>
    </row>
    <row r="771" spans="6:6" ht="15.75" customHeight="1" x14ac:dyDescent="0.25">
      <c r="F771" s="56"/>
    </row>
    <row r="772" spans="6:6" ht="15.75" customHeight="1" x14ac:dyDescent="0.25">
      <c r="F772" s="56"/>
    </row>
    <row r="773" spans="6:6" ht="15.75" customHeight="1" x14ac:dyDescent="0.25">
      <c r="F773" s="56"/>
    </row>
    <row r="774" spans="6:6" ht="15.75" customHeight="1" x14ac:dyDescent="0.25">
      <c r="F774" s="56"/>
    </row>
    <row r="775" spans="6:6" ht="15.75" customHeight="1" x14ac:dyDescent="0.25">
      <c r="F775" s="56"/>
    </row>
    <row r="776" spans="6:6" ht="15.75" customHeight="1" x14ac:dyDescent="0.25">
      <c r="F776" s="56"/>
    </row>
    <row r="777" spans="6:6" ht="15.75" customHeight="1" x14ac:dyDescent="0.25">
      <c r="F777" s="56"/>
    </row>
    <row r="778" spans="6:6" ht="15.75" customHeight="1" x14ac:dyDescent="0.25">
      <c r="F778" s="56"/>
    </row>
    <row r="779" spans="6:6" ht="15.75" customHeight="1" x14ac:dyDescent="0.25">
      <c r="F779" s="56"/>
    </row>
    <row r="780" spans="6:6" ht="15.75" customHeight="1" x14ac:dyDescent="0.25">
      <c r="F780" s="56"/>
    </row>
    <row r="781" spans="6:6" ht="15.75" customHeight="1" x14ac:dyDescent="0.25">
      <c r="F781" s="56"/>
    </row>
    <row r="782" spans="6:6" ht="15.75" customHeight="1" x14ac:dyDescent="0.25">
      <c r="F782" s="56"/>
    </row>
    <row r="783" spans="6:6" ht="15.75" customHeight="1" x14ac:dyDescent="0.25">
      <c r="F783" s="56"/>
    </row>
    <row r="784" spans="6:6" ht="15.75" customHeight="1" x14ac:dyDescent="0.25">
      <c r="F784" s="56"/>
    </row>
    <row r="785" spans="6:6" ht="15.75" customHeight="1" x14ac:dyDescent="0.25">
      <c r="F785" s="56"/>
    </row>
    <row r="786" spans="6:6" ht="15.75" customHeight="1" x14ac:dyDescent="0.25">
      <c r="F786" s="56"/>
    </row>
    <row r="787" spans="6:6" ht="15.75" customHeight="1" x14ac:dyDescent="0.25">
      <c r="F787" s="56"/>
    </row>
    <row r="788" spans="6:6" ht="15.75" customHeight="1" x14ac:dyDescent="0.25">
      <c r="F788" s="56"/>
    </row>
    <row r="789" spans="6:6" ht="15.75" customHeight="1" x14ac:dyDescent="0.25">
      <c r="F789" s="56"/>
    </row>
    <row r="790" spans="6:6" ht="15.75" customHeight="1" x14ac:dyDescent="0.25">
      <c r="F790" s="56"/>
    </row>
    <row r="791" spans="6:6" ht="15.75" customHeight="1" x14ac:dyDescent="0.25">
      <c r="F791" s="56"/>
    </row>
    <row r="792" spans="6:6" ht="15.75" customHeight="1" x14ac:dyDescent="0.25">
      <c r="F792" s="56"/>
    </row>
    <row r="793" spans="6:6" ht="15.75" customHeight="1" x14ac:dyDescent="0.25">
      <c r="F793" s="56"/>
    </row>
    <row r="794" spans="6:6" ht="15.75" customHeight="1" x14ac:dyDescent="0.25">
      <c r="F794" s="56"/>
    </row>
    <row r="795" spans="6:6" ht="15.75" customHeight="1" x14ac:dyDescent="0.25">
      <c r="F795" s="56"/>
    </row>
    <row r="796" spans="6:6" ht="15.75" customHeight="1" x14ac:dyDescent="0.25">
      <c r="F796" s="56"/>
    </row>
    <row r="797" spans="6:6" ht="15.75" customHeight="1" x14ac:dyDescent="0.25">
      <c r="F797" s="56"/>
    </row>
    <row r="798" spans="6:6" ht="15.75" customHeight="1" x14ac:dyDescent="0.25">
      <c r="F798" s="56"/>
    </row>
    <row r="799" spans="6:6" ht="15.75" customHeight="1" x14ac:dyDescent="0.25">
      <c r="F799" s="56"/>
    </row>
    <row r="800" spans="6:6" ht="15.75" customHeight="1" x14ac:dyDescent="0.25">
      <c r="F800" s="56"/>
    </row>
    <row r="801" spans="6:6" ht="15.75" customHeight="1" x14ac:dyDescent="0.25">
      <c r="F801" s="56"/>
    </row>
    <row r="802" spans="6:6" ht="15.75" customHeight="1" x14ac:dyDescent="0.25">
      <c r="F802" s="56"/>
    </row>
    <row r="803" spans="6:6" ht="15.75" customHeight="1" x14ac:dyDescent="0.25">
      <c r="F803" s="56"/>
    </row>
    <row r="804" spans="6:6" ht="15.75" customHeight="1" x14ac:dyDescent="0.25">
      <c r="F804" s="56"/>
    </row>
    <row r="805" spans="6:6" ht="15.75" customHeight="1" x14ac:dyDescent="0.25">
      <c r="F805" s="56"/>
    </row>
    <row r="806" spans="6:6" ht="15.75" customHeight="1" x14ac:dyDescent="0.25">
      <c r="F806" s="56"/>
    </row>
    <row r="807" spans="6:6" ht="15.75" customHeight="1" x14ac:dyDescent="0.25">
      <c r="F807" s="56"/>
    </row>
    <row r="808" spans="6:6" ht="15.75" customHeight="1" x14ac:dyDescent="0.25">
      <c r="F808" s="56"/>
    </row>
    <row r="809" spans="6:6" ht="15.75" customHeight="1" x14ac:dyDescent="0.25">
      <c r="F809" s="56"/>
    </row>
    <row r="810" spans="6:6" ht="15.75" customHeight="1" x14ac:dyDescent="0.25">
      <c r="F810" s="56"/>
    </row>
    <row r="811" spans="6:6" ht="15.75" customHeight="1" x14ac:dyDescent="0.25">
      <c r="F811" s="56"/>
    </row>
    <row r="812" spans="6:6" ht="15.75" customHeight="1" x14ac:dyDescent="0.25">
      <c r="F812" s="56"/>
    </row>
    <row r="813" spans="6:6" ht="15.75" customHeight="1" x14ac:dyDescent="0.25">
      <c r="F813" s="56"/>
    </row>
    <row r="814" spans="6:6" ht="15.75" customHeight="1" x14ac:dyDescent="0.25">
      <c r="F814" s="56"/>
    </row>
    <row r="815" spans="6:6" ht="15.75" customHeight="1" x14ac:dyDescent="0.25">
      <c r="F815" s="56"/>
    </row>
    <row r="816" spans="6:6" ht="15.75" customHeight="1" x14ac:dyDescent="0.25">
      <c r="F816" s="56"/>
    </row>
    <row r="817" spans="6:6" ht="15.75" customHeight="1" x14ac:dyDescent="0.25">
      <c r="F817" s="56"/>
    </row>
    <row r="818" spans="6:6" ht="15.75" customHeight="1" x14ac:dyDescent="0.25">
      <c r="F818" s="56"/>
    </row>
    <row r="819" spans="6:6" ht="15.75" customHeight="1" x14ac:dyDescent="0.25">
      <c r="F819" s="56"/>
    </row>
    <row r="820" spans="6:6" ht="15.75" customHeight="1" x14ac:dyDescent="0.25">
      <c r="F820" s="56"/>
    </row>
    <row r="821" spans="6:6" ht="15.75" customHeight="1" x14ac:dyDescent="0.25">
      <c r="F821" s="56"/>
    </row>
    <row r="822" spans="6:6" ht="15.75" customHeight="1" x14ac:dyDescent="0.25">
      <c r="F822" s="56"/>
    </row>
    <row r="823" spans="6:6" ht="15.75" customHeight="1" x14ac:dyDescent="0.25">
      <c r="F823" s="56"/>
    </row>
    <row r="824" spans="6:6" ht="15.75" customHeight="1" x14ac:dyDescent="0.25">
      <c r="F824" s="56"/>
    </row>
    <row r="825" spans="6:6" ht="15.75" customHeight="1" x14ac:dyDescent="0.25">
      <c r="F825" s="56"/>
    </row>
    <row r="826" spans="6:6" ht="15.75" customHeight="1" x14ac:dyDescent="0.25">
      <c r="F826" s="56"/>
    </row>
    <row r="827" spans="6:6" ht="15.75" customHeight="1" x14ac:dyDescent="0.25">
      <c r="F827" s="56"/>
    </row>
    <row r="828" spans="6:6" ht="15.75" customHeight="1" x14ac:dyDescent="0.25">
      <c r="F828" s="56"/>
    </row>
    <row r="829" spans="6:6" ht="15.75" customHeight="1" x14ac:dyDescent="0.25">
      <c r="F829" s="56"/>
    </row>
    <row r="830" spans="6:6" ht="15.75" customHeight="1" x14ac:dyDescent="0.25">
      <c r="F830" s="56"/>
    </row>
    <row r="831" spans="6:6" ht="15.75" customHeight="1" x14ac:dyDescent="0.25">
      <c r="F831" s="56"/>
    </row>
    <row r="832" spans="6:6" ht="15.75" customHeight="1" x14ac:dyDescent="0.25">
      <c r="F832" s="56"/>
    </row>
    <row r="833" spans="6:6" ht="15.75" customHeight="1" x14ac:dyDescent="0.25">
      <c r="F833" s="56"/>
    </row>
    <row r="834" spans="6:6" ht="15.75" customHeight="1" x14ac:dyDescent="0.25">
      <c r="F834" s="56"/>
    </row>
    <row r="835" spans="6:6" ht="15.75" customHeight="1" x14ac:dyDescent="0.25">
      <c r="F835" s="56"/>
    </row>
    <row r="836" spans="6:6" ht="15.75" customHeight="1" x14ac:dyDescent="0.25">
      <c r="F836" s="56"/>
    </row>
    <row r="837" spans="6:6" ht="15.75" customHeight="1" x14ac:dyDescent="0.25">
      <c r="F837" s="56"/>
    </row>
    <row r="838" spans="6:6" ht="15.75" customHeight="1" x14ac:dyDescent="0.25">
      <c r="F838" s="56"/>
    </row>
    <row r="839" spans="6:6" ht="15.75" customHeight="1" x14ac:dyDescent="0.25">
      <c r="F839" s="56"/>
    </row>
    <row r="840" spans="6:6" ht="15.75" customHeight="1" x14ac:dyDescent="0.25">
      <c r="F840" s="56"/>
    </row>
    <row r="841" spans="6:6" ht="15.75" customHeight="1" x14ac:dyDescent="0.25">
      <c r="F841" s="56"/>
    </row>
    <row r="842" spans="6:6" ht="15.75" customHeight="1" x14ac:dyDescent="0.25">
      <c r="F842" s="56"/>
    </row>
    <row r="843" spans="6:6" ht="15.75" customHeight="1" x14ac:dyDescent="0.25">
      <c r="F843" s="56"/>
    </row>
    <row r="844" spans="6:6" ht="15.75" customHeight="1" x14ac:dyDescent="0.25">
      <c r="F844" s="56"/>
    </row>
    <row r="845" spans="6:6" ht="15.75" customHeight="1" x14ac:dyDescent="0.25">
      <c r="F845" s="56"/>
    </row>
    <row r="846" spans="6:6" ht="15.75" customHeight="1" x14ac:dyDescent="0.25">
      <c r="F846" s="56"/>
    </row>
    <row r="847" spans="6:6" ht="15.75" customHeight="1" x14ac:dyDescent="0.25">
      <c r="F847" s="56"/>
    </row>
    <row r="848" spans="6:6" ht="15.75" customHeight="1" x14ac:dyDescent="0.25">
      <c r="F848" s="56"/>
    </row>
    <row r="849" spans="6:6" ht="15.75" customHeight="1" x14ac:dyDescent="0.25">
      <c r="F849" s="56"/>
    </row>
    <row r="850" spans="6:6" ht="15.75" customHeight="1" x14ac:dyDescent="0.25">
      <c r="F850" s="56"/>
    </row>
    <row r="851" spans="6:6" ht="15.75" customHeight="1" x14ac:dyDescent="0.25">
      <c r="F851" s="56"/>
    </row>
    <row r="852" spans="6:6" ht="15.75" customHeight="1" x14ac:dyDescent="0.25">
      <c r="F852" s="56"/>
    </row>
    <row r="853" spans="6:6" ht="15.75" customHeight="1" x14ac:dyDescent="0.25">
      <c r="F853" s="56"/>
    </row>
    <row r="854" spans="6:6" ht="15.75" customHeight="1" x14ac:dyDescent="0.25">
      <c r="F854" s="56"/>
    </row>
    <row r="855" spans="6:6" ht="15.75" customHeight="1" x14ac:dyDescent="0.25">
      <c r="F855" s="56"/>
    </row>
    <row r="856" spans="6:6" ht="15.75" customHeight="1" x14ac:dyDescent="0.25">
      <c r="F856" s="56"/>
    </row>
    <row r="857" spans="6:6" ht="15.75" customHeight="1" x14ac:dyDescent="0.25">
      <c r="F857" s="56"/>
    </row>
    <row r="858" spans="6:6" ht="15.75" customHeight="1" x14ac:dyDescent="0.25">
      <c r="F858" s="56"/>
    </row>
    <row r="859" spans="6:6" ht="15.75" customHeight="1" x14ac:dyDescent="0.25">
      <c r="F859" s="56"/>
    </row>
    <row r="860" spans="6:6" ht="15.75" customHeight="1" x14ac:dyDescent="0.25">
      <c r="F860" s="56"/>
    </row>
    <row r="861" spans="6:6" ht="15.75" customHeight="1" x14ac:dyDescent="0.25">
      <c r="F861" s="56"/>
    </row>
    <row r="862" spans="6:6" ht="15.75" customHeight="1" x14ac:dyDescent="0.25">
      <c r="F862" s="56"/>
    </row>
    <row r="863" spans="6:6" ht="15.75" customHeight="1" x14ac:dyDescent="0.25">
      <c r="F863" s="56"/>
    </row>
    <row r="864" spans="6:6" ht="15.75" customHeight="1" x14ac:dyDescent="0.25">
      <c r="F864" s="56"/>
    </row>
    <row r="865" spans="6:6" ht="15.75" customHeight="1" x14ac:dyDescent="0.25">
      <c r="F865" s="56"/>
    </row>
    <row r="866" spans="6:6" ht="15.75" customHeight="1" x14ac:dyDescent="0.25">
      <c r="F866" s="56"/>
    </row>
    <row r="867" spans="6:6" ht="15.75" customHeight="1" x14ac:dyDescent="0.25">
      <c r="F867" s="56"/>
    </row>
    <row r="868" spans="6:6" ht="15.75" customHeight="1" x14ac:dyDescent="0.25">
      <c r="F868" s="56"/>
    </row>
    <row r="869" spans="6:6" ht="15.75" customHeight="1" x14ac:dyDescent="0.25">
      <c r="F869" s="56"/>
    </row>
    <row r="870" spans="6:6" ht="15.75" customHeight="1" x14ac:dyDescent="0.25">
      <c r="F870" s="56"/>
    </row>
    <row r="871" spans="6:6" ht="15.75" customHeight="1" x14ac:dyDescent="0.25">
      <c r="F871" s="56"/>
    </row>
    <row r="872" spans="6:6" ht="15.75" customHeight="1" x14ac:dyDescent="0.25">
      <c r="F872" s="56"/>
    </row>
    <row r="873" spans="6:6" ht="15.75" customHeight="1" x14ac:dyDescent="0.25">
      <c r="F873" s="56"/>
    </row>
    <row r="874" spans="6:6" ht="15.75" customHeight="1" x14ac:dyDescent="0.25">
      <c r="F874" s="56"/>
    </row>
    <row r="875" spans="6:6" ht="15.75" customHeight="1" x14ac:dyDescent="0.25">
      <c r="F875" s="56"/>
    </row>
    <row r="876" spans="6:6" ht="15.75" customHeight="1" x14ac:dyDescent="0.25">
      <c r="F876" s="56"/>
    </row>
    <row r="877" spans="6:6" ht="15.75" customHeight="1" x14ac:dyDescent="0.25">
      <c r="F877" s="56"/>
    </row>
    <row r="878" spans="6:6" ht="15.75" customHeight="1" x14ac:dyDescent="0.25">
      <c r="F878" s="56"/>
    </row>
    <row r="879" spans="6:6" ht="15.75" customHeight="1" x14ac:dyDescent="0.25">
      <c r="F879" s="56"/>
    </row>
    <row r="880" spans="6:6" ht="15.75" customHeight="1" x14ac:dyDescent="0.25">
      <c r="F880" s="56"/>
    </row>
    <row r="881" spans="6:6" ht="15.75" customHeight="1" x14ac:dyDescent="0.25">
      <c r="F881" s="56"/>
    </row>
  </sheetData>
  <mergeCells count="3">
    <mergeCell ref="A3:P3"/>
    <mergeCell ref="A4:P4"/>
    <mergeCell ref="A5:P5"/>
  </mergeCells>
  <pageMargins left="0.51181102362204722" right="0.51181102362204722" top="0.74803149606299213" bottom="0.74803149606299213" header="0" footer="0"/>
  <pageSetup paperSize="14" orientation="landscape" r:id="rId1"/>
  <colBreaks count="1" manualBreakCount="1">
    <brk id="1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N20"/>
  <sheetViews>
    <sheetView workbookViewId="0"/>
  </sheetViews>
  <sheetFormatPr defaultColWidth="14.42578125" defaultRowHeight="15" customHeight="1" x14ac:dyDescent="0.25"/>
  <cols>
    <col min="3" max="3" width="15.28515625" customWidth="1"/>
    <col min="4" max="4" width="12.28515625" customWidth="1"/>
    <col min="5" max="5" width="11.140625" customWidth="1"/>
    <col min="6" max="6" width="12.7109375" customWidth="1"/>
    <col min="7" max="7" width="22.140625" customWidth="1"/>
    <col min="8" max="8" width="3.7109375" customWidth="1"/>
  </cols>
  <sheetData>
    <row r="2" spans="2:14" x14ac:dyDescent="0.25">
      <c r="B2" s="67" t="s">
        <v>52</v>
      </c>
      <c r="I2" s="67" t="s">
        <v>56</v>
      </c>
    </row>
    <row r="3" spans="2:14" x14ac:dyDescent="0.25">
      <c r="B3" s="68" t="s">
        <v>158</v>
      </c>
      <c r="C3" s="68" t="s">
        <v>159</v>
      </c>
      <c r="D3" s="68" t="s">
        <v>160</v>
      </c>
      <c r="E3" s="68" t="s">
        <v>161</v>
      </c>
      <c r="F3" s="68" t="s">
        <v>162</v>
      </c>
      <c r="G3" s="68" t="s">
        <v>163</v>
      </c>
      <c r="I3" s="68" t="s">
        <v>158</v>
      </c>
      <c r="J3" s="68" t="s">
        <v>159</v>
      </c>
      <c r="K3" s="68" t="s">
        <v>160</v>
      </c>
      <c r="L3" s="68" t="s">
        <v>161</v>
      </c>
      <c r="M3" s="68" t="s">
        <v>162</v>
      </c>
      <c r="N3" s="68" t="s">
        <v>163</v>
      </c>
    </row>
    <row r="4" spans="2:14" x14ac:dyDescent="0.25">
      <c r="B4" s="69">
        <v>45474</v>
      </c>
      <c r="C4" s="70"/>
      <c r="D4" s="70">
        <v>0</v>
      </c>
      <c r="E4" s="70">
        <v>500</v>
      </c>
      <c r="F4" s="70">
        <f t="shared" ref="F4:F5" si="0">E4-D4</f>
        <v>500</v>
      </c>
      <c r="G4" s="70" t="s">
        <v>164</v>
      </c>
      <c r="I4" s="69">
        <v>45474</v>
      </c>
      <c r="J4" s="71"/>
      <c r="K4" s="71">
        <v>0</v>
      </c>
      <c r="L4" s="71">
        <v>390</v>
      </c>
      <c r="M4" s="72">
        <v>390</v>
      </c>
      <c r="N4" s="73" t="s">
        <v>165</v>
      </c>
    </row>
    <row r="5" spans="2:14" x14ac:dyDescent="0.25">
      <c r="B5" s="69">
        <v>45474</v>
      </c>
      <c r="C5" s="70"/>
      <c r="D5" s="70">
        <f>E4</f>
        <v>500</v>
      </c>
      <c r="E5" s="70">
        <v>444</v>
      </c>
      <c r="F5" s="70">
        <f t="shared" si="0"/>
        <v>-56</v>
      </c>
      <c r="G5" s="70" t="s">
        <v>166</v>
      </c>
      <c r="I5" s="69">
        <v>45474</v>
      </c>
      <c r="J5" s="71"/>
      <c r="K5" s="71">
        <f>L4</f>
        <v>390</v>
      </c>
      <c r="L5" s="71">
        <v>444</v>
      </c>
      <c r="M5" s="72">
        <v>54</v>
      </c>
      <c r="N5" s="73" t="s">
        <v>167</v>
      </c>
    </row>
    <row r="6" spans="2:14" x14ac:dyDescent="0.25">
      <c r="B6" s="69"/>
      <c r="C6" s="70"/>
      <c r="D6" s="70"/>
      <c r="E6" s="70"/>
      <c r="F6" s="70"/>
      <c r="G6" s="70"/>
      <c r="I6" s="69"/>
      <c r="J6" s="71"/>
      <c r="K6" s="71"/>
      <c r="L6" s="71"/>
      <c r="M6" s="72"/>
      <c r="N6" s="73"/>
    </row>
    <row r="7" spans="2:14" x14ac:dyDescent="0.25">
      <c r="B7" s="74">
        <v>45301</v>
      </c>
      <c r="C7" s="70" t="s">
        <v>168</v>
      </c>
      <c r="D7" s="70">
        <v>1984</v>
      </c>
      <c r="E7" s="70">
        <v>2783</v>
      </c>
      <c r="F7" s="70">
        <f t="shared" ref="F7:F13" si="1">E7-D7</f>
        <v>799</v>
      </c>
      <c r="G7" s="70" t="s">
        <v>169</v>
      </c>
      <c r="I7" s="69">
        <v>45519</v>
      </c>
      <c r="J7" s="71" t="s">
        <v>170</v>
      </c>
      <c r="K7" s="71">
        <v>2110</v>
      </c>
      <c r="L7" s="71">
        <f t="shared" ref="L7:L19" si="2">L8-M8</f>
        <v>1896</v>
      </c>
      <c r="M7" s="71">
        <v>140</v>
      </c>
      <c r="N7" s="73" t="s">
        <v>171</v>
      </c>
    </row>
    <row r="8" spans="2:14" x14ac:dyDescent="0.25">
      <c r="B8" s="70" t="s">
        <v>172</v>
      </c>
      <c r="C8" s="70" t="s">
        <v>173</v>
      </c>
      <c r="D8" s="70">
        <v>2783</v>
      </c>
      <c r="E8" s="70">
        <v>3214</v>
      </c>
      <c r="F8" s="70">
        <f t="shared" si="1"/>
        <v>431</v>
      </c>
      <c r="G8" s="70" t="s">
        <v>174</v>
      </c>
      <c r="I8" s="69">
        <v>45537</v>
      </c>
      <c r="J8" s="75">
        <v>45537</v>
      </c>
      <c r="K8" s="71">
        <f t="shared" ref="K8:K20" si="3">L7</f>
        <v>1896</v>
      </c>
      <c r="L8" s="71">
        <f t="shared" si="2"/>
        <v>1946</v>
      </c>
      <c r="M8" s="71">
        <v>50</v>
      </c>
      <c r="N8" s="73" t="s">
        <v>175</v>
      </c>
    </row>
    <row r="9" spans="2:14" x14ac:dyDescent="0.25">
      <c r="B9" s="70" t="s">
        <v>176</v>
      </c>
      <c r="C9" s="70" t="s">
        <v>177</v>
      </c>
      <c r="D9" s="70">
        <v>3214</v>
      </c>
      <c r="E9" s="70">
        <v>3853</v>
      </c>
      <c r="F9" s="70">
        <f t="shared" si="1"/>
        <v>639</v>
      </c>
      <c r="G9" s="70" t="s">
        <v>178</v>
      </c>
      <c r="I9" s="69">
        <v>45545</v>
      </c>
      <c r="J9" s="75">
        <v>45557</v>
      </c>
      <c r="K9" s="71">
        <f t="shared" si="3"/>
        <v>1946</v>
      </c>
      <c r="L9" s="71">
        <f t="shared" si="2"/>
        <v>1976</v>
      </c>
      <c r="M9" s="71">
        <v>30</v>
      </c>
      <c r="N9" s="73" t="s">
        <v>179</v>
      </c>
    </row>
    <row r="10" spans="2:14" x14ac:dyDescent="0.25">
      <c r="B10" s="74">
        <v>45515</v>
      </c>
      <c r="C10" s="76">
        <v>45599</v>
      </c>
      <c r="D10" s="70">
        <v>3853</v>
      </c>
      <c r="E10" s="70">
        <v>4074</v>
      </c>
      <c r="F10" s="70">
        <f t="shared" si="1"/>
        <v>221</v>
      </c>
      <c r="G10" s="70" t="s">
        <v>180</v>
      </c>
      <c r="I10" s="69">
        <v>45547</v>
      </c>
      <c r="J10" s="75">
        <v>45555</v>
      </c>
      <c r="K10" s="71">
        <f t="shared" si="3"/>
        <v>1976</v>
      </c>
      <c r="L10" s="71">
        <f t="shared" si="2"/>
        <v>1996</v>
      </c>
      <c r="M10" s="71">
        <v>20</v>
      </c>
      <c r="N10" s="73" t="s">
        <v>181</v>
      </c>
    </row>
    <row r="11" spans="2:14" x14ac:dyDescent="0.25">
      <c r="B11" s="77">
        <v>45576</v>
      </c>
      <c r="C11" s="76">
        <v>45608</v>
      </c>
      <c r="D11" s="70">
        <v>4074</v>
      </c>
      <c r="E11" s="70">
        <v>4528</v>
      </c>
      <c r="F11" s="70">
        <f t="shared" si="1"/>
        <v>454</v>
      </c>
      <c r="G11" s="70" t="s">
        <v>182</v>
      </c>
      <c r="I11" s="69">
        <v>45548</v>
      </c>
      <c r="J11" s="75">
        <v>45556</v>
      </c>
      <c r="K11" s="71">
        <f t="shared" si="3"/>
        <v>1996</v>
      </c>
      <c r="L11" s="71">
        <f t="shared" si="2"/>
        <v>2016</v>
      </c>
      <c r="M11" s="71">
        <v>20</v>
      </c>
      <c r="N11" s="73" t="s">
        <v>181</v>
      </c>
    </row>
    <row r="12" spans="2:14" x14ac:dyDescent="0.25">
      <c r="B12" s="69">
        <v>45632</v>
      </c>
      <c r="C12" s="76">
        <v>45630</v>
      </c>
      <c r="D12" s="70">
        <v>4528</v>
      </c>
      <c r="E12" s="70">
        <f>D13</f>
        <v>4850</v>
      </c>
      <c r="F12" s="70">
        <f t="shared" si="1"/>
        <v>322</v>
      </c>
      <c r="G12" s="70" t="s">
        <v>183</v>
      </c>
      <c r="I12" s="69">
        <v>45552</v>
      </c>
      <c r="J12" s="71" t="s">
        <v>184</v>
      </c>
      <c r="K12" s="71">
        <f t="shared" si="3"/>
        <v>2016</v>
      </c>
      <c r="L12" s="71">
        <f t="shared" si="2"/>
        <v>3117</v>
      </c>
      <c r="M12" s="71">
        <v>1101</v>
      </c>
      <c r="N12" s="73" t="s">
        <v>185</v>
      </c>
    </row>
    <row r="13" spans="2:14" x14ac:dyDescent="0.25">
      <c r="B13" s="69">
        <v>45644</v>
      </c>
      <c r="C13" s="70" t="s">
        <v>186</v>
      </c>
      <c r="D13" s="70">
        <v>4850</v>
      </c>
      <c r="E13" s="78">
        <v>4880</v>
      </c>
      <c r="F13" s="70">
        <f t="shared" si="1"/>
        <v>30</v>
      </c>
      <c r="G13" s="70" t="s">
        <v>187</v>
      </c>
      <c r="I13" s="69">
        <v>45562</v>
      </c>
      <c r="J13" s="71" t="s">
        <v>188</v>
      </c>
      <c r="K13" s="71">
        <f t="shared" si="3"/>
        <v>3117</v>
      </c>
      <c r="L13" s="71">
        <f t="shared" si="2"/>
        <v>3437</v>
      </c>
      <c r="M13" s="71">
        <v>320</v>
      </c>
      <c r="N13" s="73" t="s">
        <v>189</v>
      </c>
    </row>
    <row r="14" spans="2:14" x14ac:dyDescent="0.25">
      <c r="B14" s="69"/>
      <c r="C14" s="70"/>
      <c r="D14" s="70"/>
      <c r="E14" s="70"/>
      <c r="F14" s="70"/>
      <c r="G14" s="70"/>
      <c r="I14" s="69">
        <v>45569</v>
      </c>
      <c r="J14" s="71"/>
      <c r="K14" s="71">
        <f t="shared" si="3"/>
        <v>3437</v>
      </c>
      <c r="L14" s="71">
        <f t="shared" si="2"/>
        <v>3473</v>
      </c>
      <c r="M14" s="71">
        <v>36</v>
      </c>
      <c r="N14" s="73" t="s">
        <v>190</v>
      </c>
    </row>
    <row r="15" spans="2:14" x14ac:dyDescent="0.25">
      <c r="B15" s="69"/>
      <c r="C15" s="70"/>
      <c r="D15" s="70"/>
      <c r="E15" s="70"/>
      <c r="F15" s="70"/>
      <c r="G15" s="70"/>
      <c r="I15" s="69">
        <v>45629</v>
      </c>
      <c r="J15" s="71" t="s">
        <v>191</v>
      </c>
      <c r="K15" s="71">
        <f t="shared" si="3"/>
        <v>3473</v>
      </c>
      <c r="L15" s="71">
        <f t="shared" si="2"/>
        <v>3539</v>
      </c>
      <c r="M15" s="71">
        <v>66</v>
      </c>
      <c r="N15" s="73" t="s">
        <v>192</v>
      </c>
    </row>
    <row r="16" spans="2:14" x14ac:dyDescent="0.25">
      <c r="B16" s="69"/>
      <c r="C16" s="70"/>
      <c r="D16" s="70"/>
      <c r="E16" s="70"/>
      <c r="F16" s="70"/>
      <c r="G16" s="70"/>
      <c r="I16" s="69">
        <v>45630</v>
      </c>
      <c r="J16" s="71" t="s">
        <v>191</v>
      </c>
      <c r="K16" s="71">
        <f t="shared" si="3"/>
        <v>3539</v>
      </c>
      <c r="L16" s="71">
        <f t="shared" si="2"/>
        <v>3606</v>
      </c>
      <c r="M16" s="71">
        <v>67</v>
      </c>
      <c r="N16" s="73" t="s">
        <v>192</v>
      </c>
    </row>
    <row r="17" spans="2:14" x14ac:dyDescent="0.25">
      <c r="B17" s="69"/>
      <c r="C17" s="76"/>
      <c r="D17" s="70"/>
      <c r="E17" s="70"/>
      <c r="F17" s="70"/>
      <c r="G17" s="70"/>
      <c r="I17" s="69">
        <v>45630</v>
      </c>
      <c r="J17" s="75">
        <v>45634</v>
      </c>
      <c r="K17" s="71">
        <f t="shared" si="3"/>
        <v>3606</v>
      </c>
      <c r="L17" s="71">
        <f t="shared" si="2"/>
        <v>3818</v>
      </c>
      <c r="M17" s="71">
        <v>212</v>
      </c>
      <c r="N17" s="73" t="s">
        <v>193</v>
      </c>
    </row>
    <row r="18" spans="2:14" x14ac:dyDescent="0.25">
      <c r="B18" s="69"/>
      <c r="C18" s="76"/>
      <c r="D18" s="70"/>
      <c r="E18" s="70"/>
      <c r="F18" s="70"/>
      <c r="G18" s="70"/>
      <c r="I18" s="69">
        <v>45632</v>
      </c>
      <c r="J18" s="75">
        <v>45630</v>
      </c>
      <c r="K18" s="71">
        <f t="shared" si="3"/>
        <v>3818</v>
      </c>
      <c r="L18" s="71">
        <f t="shared" si="2"/>
        <v>4220</v>
      </c>
      <c r="M18" s="71">
        <v>402</v>
      </c>
      <c r="N18" s="73" t="s">
        <v>194</v>
      </c>
    </row>
    <row r="19" spans="2:14" x14ac:dyDescent="0.25">
      <c r="B19" s="69"/>
      <c r="C19" s="70"/>
      <c r="D19" s="70"/>
      <c r="E19" s="70"/>
      <c r="F19" s="70"/>
      <c r="G19" s="70"/>
      <c r="I19" s="69">
        <v>45645</v>
      </c>
      <c r="J19" s="71" t="s">
        <v>195</v>
      </c>
      <c r="K19" s="71">
        <f t="shared" si="3"/>
        <v>4220</v>
      </c>
      <c r="L19" s="71">
        <f t="shared" si="2"/>
        <v>4298</v>
      </c>
      <c r="M19" s="71">
        <v>78</v>
      </c>
      <c r="N19" s="73" t="s">
        <v>196</v>
      </c>
    </row>
    <row r="20" spans="2:14" x14ac:dyDescent="0.25">
      <c r="B20" s="69"/>
      <c r="C20" s="70"/>
      <c r="D20" s="70"/>
      <c r="E20" s="79"/>
      <c r="F20" s="70"/>
      <c r="G20" s="70"/>
      <c r="I20" s="69">
        <v>45646</v>
      </c>
      <c r="J20" s="71" t="s">
        <v>195</v>
      </c>
      <c r="K20" s="71">
        <f t="shared" si="3"/>
        <v>4298</v>
      </c>
      <c r="L20" s="80">
        <v>4378</v>
      </c>
      <c r="M20" s="71">
        <v>80</v>
      </c>
      <c r="N20" s="7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 OF VEHICLES FORM A</vt:lpstr>
      <vt:lpstr>INVENTORY OF VEHICLES FORM B</vt:lpstr>
      <vt:lpstr>INVENTORY OF VEHICLES FORM C</vt:lpstr>
      <vt:lpstr>INVENTORY OF VEHICLES FORM V3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~GSU</cp:lastModifiedBy>
  <cp:lastPrinted>2025-12-19T02:28:39Z</cp:lastPrinted>
  <dcterms:created xsi:type="dcterms:W3CDTF">2010-10-26T17:41:46Z</dcterms:created>
  <dcterms:modified xsi:type="dcterms:W3CDTF">2025-12-19T02:29:00Z</dcterms:modified>
</cp:coreProperties>
</file>